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hidePivotFieldList="1"/>
  <mc:AlternateContent xmlns:mc="http://schemas.openxmlformats.org/markup-compatibility/2006">
    <mc:Choice Requires="x15">
      <x15ac:absPath xmlns:x15ac="http://schemas.microsoft.com/office/spreadsheetml/2010/11/ac" url="C:\Users\Ajay\Documents\Data Science\Excel\Dash_board project\"/>
    </mc:Choice>
  </mc:AlternateContent>
  <xr:revisionPtr revIDLastSave="0" documentId="13_ncr:1_{4F00B231-2D54-43D5-A0F5-A637062A0EF2}" xr6:coauthVersionLast="47" xr6:coauthVersionMax="47" xr10:uidLastSave="{00000000-0000-0000-0000-000000000000}"/>
  <bookViews>
    <workbookView xWindow="-108" yWindow="-108" windowWidth="23256" windowHeight="13176" activeTab="3" xr2:uid="{26D4546B-D2A1-4444-8EAF-A6228F96F0C1}"/>
  </bookViews>
  <sheets>
    <sheet name="Sheet3" sheetId="7" r:id="rId1"/>
    <sheet name="Pivots" sheetId="6" r:id="rId2"/>
    <sheet name="Data" sheetId="2" r:id="rId3"/>
    <sheet name="Customer Centre Report" sheetId="5" r:id="rId4"/>
    <sheet name="Assets" sheetId="4" r:id="rId5"/>
  </sheets>
  <definedNames>
    <definedName name="_xlnm._FilterDatabase" localSheetId="2" hidden="1">Data!$B$3:$H$1003</definedName>
    <definedName name="_xlcn.WorksheetConnection_07.sampledataexcelportfolioproject.xlsxcalls" hidden="1">calls[]</definedName>
    <definedName name="_xlcn.WorksheetConnection_07.sampledataexcelportfolioproject.xlsxcustomers" hidden="1">customers[]</definedName>
    <definedName name="ExternalData_1" localSheetId="0" hidden="1">Sheet3!$A$3:$M$66</definedName>
    <definedName name="Slicer_Representative">#N/A</definedName>
  </definedNames>
  <calcPr calcId="191029"/>
  <pivotCaches>
    <pivotCache cacheId="0" r:id="rId6"/>
    <pivotCache cacheId="1" r:id="rId7"/>
    <pivotCache cacheId="2" r:id="rId8"/>
    <pivotCache cacheId="3" r:id="rId9"/>
    <pivotCache cacheId="12" r:id="rId10"/>
    <pivotCache cacheId="15" r:id="rId11"/>
    <pivotCache cacheId="18" r:id="rId12"/>
    <pivotCache cacheId="21" r:id="rId13"/>
    <pivotCache cacheId="24"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5" i="6" l="1"/>
  <c r="M30" i="5" s="1"/>
  <c r="M81" i="6" a="1"/>
  <c r="M81" i="6" s="1"/>
  <c r="S23" i="5" a="1"/>
  <c r="S23" i="5" s="1"/>
  <c r="R24" i="5" a="1"/>
  <c r="R24" i="5" s="1"/>
  <c r="I43" i="6"/>
  <c r="J46"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K49" i="6" l="1"/>
  <c r="K47" i="6"/>
  <c r="J50" i="6"/>
  <c r="J49" i="6"/>
  <c r="J48" i="6"/>
  <c r="J47" i="6"/>
  <c r="K46" i="6"/>
  <c r="K48" i="6"/>
  <c r="K5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E93D57-EA36-4EDB-8638-26CDFA604536}" keepAlive="1" name="ModelConnection_ExternalData_1" description="Data Model" type="5" refreshedVersion="8" minRefreshableVersion="5" saveData="1">
    <dbPr connection="Data Model Connection" command="DRILLTHROUGH MAXROWS 1000 SELECT FROM [Model] WHERE ((([Measures].[Call Count],[customers].[City].&amp;[Cleveland]),[customers].[Gedner].&amp;[Male]))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7F8464C2-E402-44FD-94D5-1A406CD0ADB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195E637-5FE1-4658-9E88-BDAB6A2C89E3}"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4" xr16:uid="{0D81662E-3E92-4561-BF84-CB319EE8B049}"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6">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futureMetadata>
  <cellMetadata count="1">
    <bk>
      <rc t="1" v="0"/>
    </bk>
  </cellMetadata>
  <valueMetadata count="6">
    <bk>
      <rc t="2" v="0"/>
    </bk>
    <bk>
      <rc t="2" v="1"/>
    </bk>
    <bk>
      <rc t="2" v="2"/>
    </bk>
    <bk>
      <rc t="2" v="3"/>
    </bk>
    <bk>
      <rc t="2" v="4"/>
    </bk>
    <bk>
      <rc t="2" v="5"/>
    </bk>
  </valueMetadata>
</metadata>
</file>

<file path=xl/sharedStrings.xml><?xml version="1.0" encoding="utf-8"?>
<sst xmlns="http://schemas.openxmlformats.org/spreadsheetml/2006/main" count="3561" uniqueCount="1097">
  <si>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</si>
  <si>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</si>
  <si>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</si>
  <si>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</si>
  <si>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</si>
  <si>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</si>
  <si>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</si>
  <si>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</si>
  <si>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</si>
  <si>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</si>
  <si>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</si>
  <si>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</si>
  <si>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</si>
  <si>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</si>
  <si>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</si>
  <si>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</si>
  <si>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</si>
  <si>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</si>
  <si>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</si>
  <si>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</si>
  <si>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</si>
  <si>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</si>
  <si>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</si>
  <si>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</si>
  <si>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</si>
  <si>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</si>
  <si>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</si>
  <si>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</si>
  <si>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</si>
  <si>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</si>
  <si>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</si>
  <si>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</si>
  <si>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</si>
  <si>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</si>
  <si>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</si>
  <si>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</si>
  <si>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</si>
  <si>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</si>
  <si>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</si>
  <si>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</si>
  <si>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</si>
  <si>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</si>
  <si>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</si>
  <si>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</si>
  <si>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</si>
  <si>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</si>
  <si>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</si>
  <si>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</si>
  <si>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</si>
  <si>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</si>
  <si>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</si>
  <si>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</si>
  <si>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</si>
  <si>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</si>
  <si>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</si>
  <si>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</si>
  <si>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</si>
  <si>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</si>
  <si>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</si>
  <si>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</si>
  <si>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</si>
  <si>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</si>
  <si>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</si>
  <si>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</si>
  <si>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</si>
  <si>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</si>
  <si>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</si>
  <si>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</si>
  <si>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</si>
  <si>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</si>
  <si>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</si>
  <si>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</si>
  <si>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</si>
  <si>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</si>
  <si>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</si>
  <si>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</si>
  <si>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</si>
  <si>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</si>
  <si>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</si>
  <si>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</si>
  <si>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</si>
  <si>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</si>
  <si>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</si>
  <si>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</si>
  <si>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</si>
  <si>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</si>
  <si>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</si>
  <si>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</si>
  <si>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</si>
  <si>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</si>
  <si>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</si>
  <si>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</si>
  <si>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</si>
  <si>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</si>
  <si>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</si>
  <si>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</si>
  <si>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</si>
  <si>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</si>
  <si>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</si>
  <si>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</si>
  <si>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</si>
  <si>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</si>
  <si>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</si>
  <si>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</si>
  <si>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</si>
  <si>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</si>
  <si>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</si>
  <si>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</si>
  <si>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</si>
  <si>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</si>
  <si>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</si>
  <si>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</si>
  <si>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</si>
  <si>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</si>
  <si>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</si>
  <si>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</si>
  <si>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</si>
  <si>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</si>
  <si>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</si>
  <si>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</si>
  <si>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</si>
  <si>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</si>
  <si>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</si>
  <si>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</si>
  <si>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</si>
  <si>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</si>
  <si>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</si>
  <si>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</si>
  <si>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</si>
  <si>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</si>
  <si>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</si>
  <si>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</si>
  <si>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</si>
  <si>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</si>
  <si>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</si>
  <si>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</si>
  <si>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</si>
  <si>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</si>
  <si>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</si>
  <si>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</si>
  <si>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</si>
  <si>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</si>
  <si>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</si>
  <si>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</si>
  <si>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</si>
  <si>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</si>
  <si>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</si>
  <si>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</si>
  <si>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</si>
  <si>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</si>
  <si>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</si>
  <si>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</si>
  <si>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</si>
  <si>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</si>
  <si>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</si>
  <si>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</si>
  <si>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</si>
  <si>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</si>
  <si>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</si>
  <si>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</si>
  <si>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</si>
  <si>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</si>
  <si>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</si>
  <si>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</si>
  <si>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</si>
  <si>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</si>
  <si>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</si>
  <si>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</si>
  <si>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</si>
  <si>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</si>
  <si>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</si>
  <si>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</si>
  <si>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</si>
  <si>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</si>
  <si>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</si>
  <si>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</si>
  <si>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</si>
  <si>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</si>
  <si>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</si>
  <si>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</si>
  <si>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</si>
  <si>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</si>
  <si>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</si>
  <si>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</si>
  <si>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</si>
  <si>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</si>
  <si>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</si>
  <si>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</si>
  <si>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</si>
  <si>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</si>
  <si>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</si>
  <si>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</si>
  <si>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</si>
  <si>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</si>
  <si>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</si>
  <si>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</si>
  <si>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</si>
  <si>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</si>
  <si>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</si>
  <si>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</si>
  <si>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</si>
  <si>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</si>
  <si>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</si>
  <si>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</si>
  <si>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</si>
  <si>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</si>
  <si>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</si>
  <si>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</si>
  <si>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</si>
  <si>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</si>
  <si>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</si>
  <si>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</si>
  <si>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</si>
  <si>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</si>
  <si>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</si>
  <si>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</si>
  <si>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</si>
  <si>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</si>
  <si>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</si>
  <si>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</si>
  <si>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</si>
  <si>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</si>
  <si>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</si>
  <si>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</si>
  <si>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</si>
  <si>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</si>
  <si>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</si>
  <si>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</si>
  <si>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</si>
  <si>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</si>
  <si>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</si>
  <si>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</si>
  <si>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</si>
  <si>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</si>
  <si>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</si>
  <si>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</si>
  <si>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</si>
  <si>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</si>
  <si>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</si>
  <si>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</si>
  <si>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</si>
  <si>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</si>
  <si>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</si>
  <si>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</si>
  <si>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</si>
  <si>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</si>
  <si>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</si>
  <si>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</si>
  <si>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</si>
  <si>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</si>
  <si>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</si>
  <si>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</si>
  <si>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</si>
  <si>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</si>
  <si>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</si>
  <si>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</si>
  <si>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</si>
  <si>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</si>
  <si>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</si>
  <si>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</si>
  <si>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</si>
  <si>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</si>
  <si>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</si>
  <si>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</si>
  <si>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</si>
  <si>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</si>
  <si>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</si>
  <si>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</si>
  <si>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</si>
  <si>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</si>
  <si>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</si>
  <si>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</si>
  <si>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</si>
  <si>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</si>
  <si>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</si>
  <si>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</si>
  <si>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</si>
  <si>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</si>
  <si>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</si>
  <si>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</si>
  <si>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</si>
  <si>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</si>
  <si>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</si>
  <si>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</si>
  <si>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</si>
  <si>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</si>
  <si>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</si>
  <si>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</si>
  <si>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</si>
  <si>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</si>
  <si>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</si>
  <si>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</si>
  <si>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</si>
  <si>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</si>
  <si>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</si>
  <si>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</si>
  <si>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</si>
  <si>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</si>
  <si>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</si>
  <si>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</si>
  <si>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</si>
  <si>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</si>
  <si>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</si>
  <si>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</si>
  <si>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</si>
  <si>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</si>
  <si>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</si>
  <si>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</si>
  <si>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</si>
  <si>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</si>
  <si>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</si>
  <si>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</si>
  <si>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</si>
  <si>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</si>
  <si>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</si>
  <si>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</si>
  <si>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</si>
  <si>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</si>
  <si>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</si>
  <si>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</si>
  <si>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</si>
  <si>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</si>
  <si>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</si>
  <si>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</si>
  <si>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</si>
  <si>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</si>
  <si>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</si>
  <si>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</si>
  <si>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</si>
  <si>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</si>
  <si>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</si>
  <si>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</si>
  <si>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</si>
  <si>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</si>
  <si>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</si>
  <si>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</si>
  <si>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</si>
  <si>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</si>
  <si>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</si>
  <si>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</si>
  <si>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</si>
  <si>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</si>
  <si>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</si>
  <si>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</si>
  <si>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</si>
  <si>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</si>
  <si>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</si>
  <si>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</si>
  <si>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</si>
  <si>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</si>
  <si>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</si>
  <si>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</si>
  <si>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</si>
  <si>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</si>
  <si>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</si>
  <si>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</si>
  <si>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</si>
  <si>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</si>
  <si>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</si>
  <si>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</si>
  <si>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</si>
  <si>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</si>
  <si>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</si>
  <si>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</si>
  <si>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</si>
  <si>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</si>
  <si>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</si>
  <si>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</si>
  <si>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</si>
  <si>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</si>
  <si>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</si>
  <si>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</si>
  <si>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</si>
  <si>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</si>
  <si>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</si>
  <si>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</si>
  <si>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</si>
  <si>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</si>
  <si>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</si>
  <si>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</si>
  <si>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</si>
  <si>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</si>
  <si>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</si>
  <si>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</si>
  <si>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</si>
  <si>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</si>
  <si>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</si>
  <si>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</si>
  <si>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</si>
  <si>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</si>
  <si>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</si>
  <si>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</si>
  <si>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</si>
  <si>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</si>
  <si>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</si>
  <si>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</si>
  <si>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</si>
  <si>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</si>
  <si>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</si>
  <si>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</si>
  <si>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</si>
  <si>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</si>
  <si>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</si>
  <si>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</si>
  <si>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</si>
  <si>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</si>
  <si>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</si>
  <si>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</si>
  <si>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</si>
  <si>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</si>
  <si>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</si>
  <si>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</si>
  <si>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</si>
  <si>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</si>
  <si>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</si>
  <si>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</si>
  <si>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</si>
  <si>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</si>
  <si>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</si>
  <si>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</si>
  <si>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</si>
  <si>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</si>
  <si>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</si>
  <si>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</si>
  <si>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</si>
  <si>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</si>
  <si>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</si>
  <si>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</si>
  <si>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</si>
  <si>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</si>
  <si>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</si>
  <si>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</si>
  <si>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</si>
  <si>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</si>
  <si>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</si>
  <si>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</si>
  <si>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</si>
  <si>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</si>
  <si>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</si>
  <si>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</si>
  <si>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</si>
  <si>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</si>
  <si>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</si>
  <si>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</si>
  <si>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</si>
  <si>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</si>
  <si>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</si>
  <si>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</si>
  <si>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</si>
  <si>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</si>
  <si>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</si>
  <si>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</si>
  <si>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</si>
  <si>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</si>
  <si>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</si>
  <si>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</si>
  <si>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</si>
  <si>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</si>
  <si>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</si>
  <si>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</si>
  <si>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</si>
  <si>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</si>
  <si>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</si>
  <si>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</si>
  <si>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</si>
  <si>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</si>
  <si>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</si>
  <si>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</si>
  <si>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</si>
  <si>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</si>
  <si>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</si>
  <si>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</si>
  <si>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</si>
  <si>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</si>
  <si>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</si>
  <si>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</si>
  <si>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</si>
  <si>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</si>
  <si>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</si>
  <si>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</si>
  <si>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</si>
  <si>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</si>
  <si>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</si>
  <si>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</si>
  <si>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</si>
  <si>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</si>
  <si>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</si>
  <si>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</si>
  <si>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</si>
  <si>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</si>
  <si>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</si>
  <si>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</si>
  <si>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</si>
  <si>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</si>
  <si>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</si>
  <si>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</si>
  <si>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</si>
  <si>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</si>
  <si>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</si>
  <si>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</si>
  <si>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</si>
  <si>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</si>
  <si>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</si>
  <si>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</si>
  <si>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</si>
  <si>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</si>
  <si>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</si>
  <si>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</si>
  <si>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</si>
  <si>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</si>
  <si>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</si>
  <si>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</si>
  <si>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</si>
  <si>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</si>
  <si>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</si>
  <si>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</si>
  <si>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</si>
  <si>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</si>
  <si>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</si>
  <si>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</si>
  <si>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</si>
  <si>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</si>
  <si>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</si>
  <si>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</si>
  <si>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</si>
  <si>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</si>
  <si>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</si>
  <si>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</si>
  <si>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</si>
  <si>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</si>
  <si>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</si>
  <si>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</si>
  <si>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</si>
  <si>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</si>
  <si>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</si>
  <si>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</si>
  <si>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</si>
  <si>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</si>
  <si>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</si>
  <si>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</si>
  <si>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</si>
  <si>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</si>
  <si>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</si>
  <si>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</si>
  <si>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</si>
  <si>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</si>
  <si>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</si>
  <si>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</si>
  <si>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</si>
  <si>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</si>
  <si>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</si>
  <si>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</si>
  <si>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</si>
  <si>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</si>
  <si>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</si>
  <si>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</si>
  <si>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</si>
  <si>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</si>
  <si>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</si>
  <si>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</si>
  <si>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</si>
  <si>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</si>
  <si>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</si>
  <si>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</si>
  <si>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</si>
  <si>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</si>
  <si>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</si>
  <si>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</si>
  <si>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</si>
  <si>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</si>
  <si>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</si>
  <si>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</si>
  <si>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</si>
  <si>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</si>
  <si>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</si>
  <si>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</si>
  <si>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</si>
  <si>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</si>
  <si>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</si>
  <si>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</si>
  <si>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</si>
  <si>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</si>
  <si>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</si>
  <si>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</si>
  <si>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</si>
  <si>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</si>
  <si>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</si>
  <si>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</si>
  <si>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</si>
  <si>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</si>
  <si>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</si>
  <si>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</si>
  <si>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</si>
  <si>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</si>
  <si>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</si>
  <si>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</si>
  <si>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</si>
  <si>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</si>
  <si>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</si>
  <si>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</si>
  <si>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</si>
  <si>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</si>
  <si>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</si>
  <si>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</si>
  <si>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</si>
  <si>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</si>
  <si>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</si>
  <si>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</si>
  <si>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</si>
  <si>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</si>
  <si>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</si>
  <si>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</si>
  <si>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</si>
  <si>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</si>
  <si>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</si>
  <si>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</si>
  <si>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</si>
  <si>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</si>
  <si>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</si>
  <si>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</si>
  <si>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</si>
  <si>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</si>
  <si>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</si>
  <si>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</si>
  <si>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</si>
  <si>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</si>
  <si>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</si>
  <si>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</si>
  <si>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</si>
  <si>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</si>
  <si>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</si>
  <si>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</si>
  <si>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</si>
  <si>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</si>
  <si>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</si>
  <si>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</si>
  <si>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</si>
  <si>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</si>
  <si>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</si>
  <si>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</si>
  <si>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</si>
  <si>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</si>
  <si>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</si>
  <si>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</si>
  <si>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</si>
  <si>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</si>
  <si>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</si>
  <si>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</si>
  <si>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</si>
  <si>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</si>
  <si>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</si>
  <si>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</si>
  <si>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</si>
  <si>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</si>
  <si>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</si>
  <si>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</si>
  <si>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</si>
  <si>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</si>
  <si>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</si>
  <si>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</si>
  <si>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</si>
  <si>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</si>
  <si>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</si>
  <si>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</si>
  <si>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</si>
  <si>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</si>
  <si>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</si>
  <si>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</si>
  <si>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</si>
  <si>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</si>
  <si>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</si>
  <si>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</si>
  <si>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</si>
  <si>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</si>
  <si>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</si>
  <si>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</si>
  <si>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</si>
  <si>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</si>
  <si>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</si>
  <si>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</si>
  <si>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</si>
  <si>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</si>
  <si>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</si>
  <si>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</si>
  <si>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</si>
  <si>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</si>
  <si>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</si>
  <si>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</si>
  <si>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</si>
  <si>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</si>
  <si>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</si>
  <si>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</si>
  <si>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</si>
  <si>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</si>
  <si>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</si>
  <si>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</si>
  <si>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</si>
  <si>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</si>
  <si>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</si>
  <si>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</si>
  <si>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</si>
  <si>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</si>
  <si>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</si>
  <si>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</si>
  <si>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</si>
  <si>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</si>
  <si>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</si>
  <si>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</si>
  <si>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</si>
  <si>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</si>
  <si>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</si>
  <si>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</si>
  <si>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</si>
  <si>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</si>
  <si>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</si>
  <si>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</si>
  <si>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</si>
  <si>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</si>
  <si>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</si>
  <si>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</si>
  <si>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</si>
  <si>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</si>
  <si>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</si>
  <si>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</si>
  <si>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</si>
  <si>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</si>
  <si>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</si>
  <si>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</si>
  <si>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</si>
  <si>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</si>
  <si>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</si>
  <si>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</si>
  <si>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</si>
  <si>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</si>
  <si>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</si>
  <si>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</si>
  <si>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</si>
  <si>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</si>
  <si>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</si>
  <si>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</si>
  <si>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</si>
  <si>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</si>
  <si>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</si>
  <si>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</si>
  <si>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</si>
  <si>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</si>
  <si>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</si>
  <si>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</si>
  <si>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</si>
  <si>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</si>
  <si>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</si>
  <si>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</si>
  <si>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</si>
  <si>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</si>
  <si>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</si>
  <si>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</si>
  <si>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</si>
  <si>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</si>
  <si>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</si>
  <si>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</si>
  <si>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</si>
  <si>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</si>
  <si>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</si>
  <si>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</si>
  <si>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</si>
  <si>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</si>
  <si>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</si>
  <si>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</si>
  <si>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</si>
  <si>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</si>
  <si>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</si>
  <si>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</si>
  <si>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</si>
  <si>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</si>
  <si>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</si>
  <si>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</si>
  <si>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</si>
  <si>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</si>
  <si>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</si>
  <si>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</si>
  <si>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</si>
  <si>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</si>
  <si>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</si>
  <si>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</si>
  <si>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</si>
  <si>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</si>
  <si>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</si>
  <si>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</si>
  <si>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</si>
  <si>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</si>
  <si>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</si>
  <si>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</si>
  <si>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</si>
  <si>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</si>
  <si>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</si>
  <si>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</si>
  <si>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</si>
  <si>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</si>
  <si>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</si>
  <si>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</si>
  <si>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</si>
  <si>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</si>
  <si>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</si>
  <si>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</si>
  <si>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</si>
  <si>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</si>
  <si>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</si>
  <si>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</si>
  <si>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</si>
  <si>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</si>
  <si>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</si>
  <si>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</si>
  <si>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</si>
  <si>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</si>
  <si>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</si>
  <si>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</si>
  <si>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</si>
  <si>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</si>
  <si>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</si>
  <si>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</si>
  <si>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</si>
  <si>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</si>
  <si>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</si>
  <si>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</si>
  <si>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</si>
  <si>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</si>
  <si>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</si>
  <si>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</si>
  <si>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</si>
  <si>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</si>
  <si>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</si>
  <si>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</si>
  <si>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</si>
  <si>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</si>
  <si>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</si>
  <si>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</si>
  <si>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</si>
  <si>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</si>
  <si>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</si>
  <si>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</si>
  <si>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</si>
  <si>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</si>
  <si>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</si>
  <si>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</si>
  <si>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</si>
  <si>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</si>
  <si>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</si>
  <si>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</si>
  <si>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</si>
  <si>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</si>
  <si>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</si>
  <si>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</si>
  <si>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</si>
  <si>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</si>
  <si>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</si>
  <si>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</si>
  <si>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</si>
  <si>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</si>
  <si>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</si>
  <si>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</si>
  <si>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</si>
  <si>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</si>
  <si>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</si>
  <si>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</si>
  <si>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</si>
  <si>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</si>
  <si>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</si>
  <si>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</si>
  <si>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</si>
  <si>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</si>
  <si>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</si>
  <si>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</si>
  <si>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</si>
  <si>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</si>
  <si>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</si>
  <si>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</si>
  <si>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</si>
  <si>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</si>
  <si>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</si>
  <si>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</si>
  <si>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</si>
  <si>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</si>
  <si>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</si>
  <si>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</si>
  <si>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</si>
  <si>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</si>
  <si>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</si>
  <si>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</si>
  <si>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</si>
  <si>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</si>
  <si>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</si>
  <si>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</si>
  <si>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</si>
  <si>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</si>
  <si>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</si>
  <si>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</si>
  <si>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</si>
  <si>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</si>
  <si>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</si>
  <si>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</si>
  <si>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</si>
  <si>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</si>
  <si>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</si>
  <si>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</si>
  <si>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</si>
  <si>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</si>
  <si>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</si>
  <si>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</si>
  <si>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</si>
  <si>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</si>
  <si>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</si>
  <si>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</si>
  <si>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</si>
  <si>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</si>
  <si>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</si>
  <si>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</si>
  <si>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</si>
  <si>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</si>
  <si>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</si>
  <si>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</si>
  <si>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</si>
  <si>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</si>
  <si>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</si>
  <si>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</si>
  <si>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</si>
  <si>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</si>
  <si>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</si>
  <si>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</si>
  <si>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</si>
  <si>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</si>
  <si>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</si>
  <si>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</si>
  <si>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</si>
  <si>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</si>
  <si>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</si>
  <si>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</si>
  <si>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</si>
  <si>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</si>
  <si>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</si>
  <si>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</si>
  <si>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</si>
  <si>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</si>
  <si>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</si>
  <si>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</si>
  <si>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</si>
  <si>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</si>
  <si>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</si>
  <si>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</si>
  <si>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</si>
  <si>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</si>
  <si>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</si>
  <si>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</si>
  <si>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</si>
  <si>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</si>
  <si>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</si>
  <si>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</si>
  <si>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</si>
  <si>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</si>
  <si>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</si>
  <si>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</si>
  <si>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</si>
  <si>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</si>
  <si>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</si>
  <si>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</si>
  <si>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</si>
  <si>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</si>
  <si>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</si>
  <si>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</si>
  <si>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</si>
  <si>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</si>
  <si>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</si>
  <si>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</si>
  <si>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</si>
  <si>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</si>
  <si>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</si>
  <si>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</si>
  <si>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</si>
  <si>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</si>
  <si>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</si>
  <si>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</si>
  <si>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</si>
  <si>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</si>
  <si>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</si>
  <si>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</si>
  <si>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</si>
  <si>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</si>
  <si>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</si>
  <si>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</si>
  <si>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</si>
  <si>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</si>
  <si>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</si>
  <si>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</si>
  <si>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</si>
  <si>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</si>
  <si>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</si>
  <si>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</si>
  <si>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</si>
  <si>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</si>
  <si>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</si>
  <si>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</si>
  <si>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</si>
  <si>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</si>
  <si>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</si>
  <si>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</si>
  <si>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</si>
  <si>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</si>
  <si>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</si>
  <si>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</si>
  <si>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</si>
  <si>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</si>
  <si>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</si>
  <si>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</si>
  <si>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</si>
  <si>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</si>
  <si>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</si>
  <si>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</si>
  <si>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</si>
  <si>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</si>
  <si>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</si>
  <si>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</si>
  <si>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</si>
  <si>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</si>
  <si>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</si>
  <si>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</si>
  <si>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</si>
  <si>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</si>
  <si>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</si>
  <si>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</si>
  <si>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</si>
  <si>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</si>
  <si>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</si>
  <si>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</si>
  <si>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</si>
  <si>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</si>
  <si>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</si>
  <si>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</si>
  <si>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</si>
  <si>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</si>
  <si>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</si>
  <si>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</si>
  <si>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</si>
  <si>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</si>
  <si>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</si>
  <si>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</si>
  <si>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</si>
  <si>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</si>
  <si>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</si>
  <si>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</si>
  <si>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</si>
  <si>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</si>
  <si>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</si>
  <si>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</si>
  <si>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</si>
  <si>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</si>
  <si>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</si>
  <si>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</si>
  <si>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</si>
  <si>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</si>
  <si>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</si>
  <si>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</si>
  <si>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</si>
  <si>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</si>
  <si>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</si>
  <si>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</si>
  <si>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</si>
  <si>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</si>
  <si>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</si>
  <si>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</si>
  <si>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</si>
  <si>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Rep</t>
  </si>
  <si>
    <t>Calls</t>
  </si>
  <si>
    <t>Amount</t>
  </si>
  <si>
    <t>selected rep</t>
  </si>
  <si>
    <t>sel calls</t>
  </si>
  <si>
    <t>sel Amount</t>
  </si>
  <si>
    <t>Column Labels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</si>
  <si>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</si>
  <si>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</si>
  <si>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</si>
  <si>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</si>
  <si>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</si>
  <si>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</si>
  <si>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</si>
  <si>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</si>
  <si>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</si>
  <si>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</si>
  <si>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</si>
  <si>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</si>
  <si>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</si>
  <si>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1 to 2 hours</t>
  </si>
  <si>
    <t>More than 2 hours</t>
  </si>
  <si>
    <t>10 to 30 mins</t>
  </si>
  <si>
    <t>30 to 60 mins</t>
  </si>
  <si>
    <t>Data returned for Call Count, Cleveland, Male (First 1000 rows).</t>
  </si>
  <si>
    <t xml:space="preserve"> </t>
  </si>
  <si>
    <t>Total</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</si>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</sst>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0;\-\$#,##0;\$#,##0"/>
    <numFmt numFmtId="166" formatCode="0.0"/>
    <numFmt numFmtId="167" formatCode="\$#,###.0,\k"/>
    <numFmt numFmtId="168" formatCode="[$$-409]#,##0.00"/>
    <numFmt numFmtId="169" formatCode="[$$-409]#,##0"/>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rgb="FFFF0000"/>
      <name val="Aptos"/>
      <family val="2"/>
      <scheme val="minor"/>
    </font>
    <font>
      <sz val="12"/>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9"/>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4" fillId="0" borderId="0" xfId="0" applyFont="1" applyAlignment="1">
      <alignment horizontal="left"/>
    </xf>
    <xf numFmtId="0" fontId="0" fillId="4" borderId="0" xfId="0" applyFill="1"/>
    <xf numFmtId="0" fontId="0" fillId="0" borderId="0" xfId="0" applyAlignment="1">
      <alignment horizontal="left" indent="1"/>
    </xf>
    <xf numFmtId="14" fontId="0" fillId="0" borderId="0" xfId="0" applyNumberFormat="1"/>
    <xf numFmtId="168" fontId="0" fillId="0" borderId="0" xfId="0" applyNumberFormat="1"/>
    <xf numFmtId="169" fontId="0" fillId="0" borderId="0" xfId="0" applyNumberFormat="1"/>
    <xf numFmtId="0" fontId="5" fillId="5" borderId="0" xfId="0" applyFont="1" applyFill="1"/>
    <xf numFmtId="0" fontId="5" fillId="5" borderId="0" xfId="0" applyFont="1" applyFill="1" applyAlignment="1">
      <alignment horizontal="center" vertical="top"/>
    </xf>
    <xf numFmtId="0" fontId="5" fillId="5" borderId="0" xfId="0" applyFont="1" applyFill="1" applyAlignment="1">
      <alignment horizontal="right" vertical="top"/>
    </xf>
    <xf numFmtId="0" fontId="5" fillId="5" borderId="0" xfId="0" applyFont="1" applyFill="1" applyAlignment="1">
      <alignment horizontal="right"/>
    </xf>
    <xf numFmtId="0" fontId="5" fillId="5" borderId="0" xfId="0" applyFont="1" applyFill="1" applyAlignment="1">
      <alignment horizontal="center"/>
    </xf>
    <xf numFmtId="169" fontId="5" fillId="5" borderId="0" xfId="0" applyNumberFormat="1" applyFont="1" applyFill="1"/>
    <xf numFmtId="0" fontId="0" fillId="3" borderId="0" xfId="0" applyFill="1" applyAlignment="1">
      <alignment horizontal="center"/>
    </xf>
  </cellXfs>
  <cellStyles count="1">
    <cellStyle name="Normal" xfId="0" builtinId="0"/>
  </cellStyles>
  <dxfs count="28">
    <dxf>
      <font>
        <color rgb="FFFF0000"/>
      </font>
    </dxf>
    <dxf>
      <border>
        <vertical/>
        <horizontal/>
      </border>
    </dxf>
    <dxf>
      <fill>
        <patternFill>
          <bgColor theme="5"/>
        </patternFill>
      </fill>
      <border>
        <left style="thin">
          <color theme="7"/>
        </left>
        <right style="thin">
          <color theme="7"/>
        </right>
        <top style="thin">
          <color theme="7"/>
        </top>
        <bottom style="thin">
          <color theme="7"/>
        </bottom>
        <vertical/>
        <horizontal/>
      </border>
    </dxf>
    <dxf>
      <fill>
        <patternFill>
          <bgColor theme="7"/>
        </patternFill>
      </fill>
      <border>
        <left style="thin">
          <color theme="3"/>
        </left>
        <right style="thin">
          <color theme="3"/>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color rgb="FFFF0000"/>
      </font>
    </dxf>
    <dxf>
      <numFmt numFmtId="169" formatCode="[$$-409]#,##0"/>
    </dxf>
    <dxf>
      <numFmt numFmtId="169" formatCode="[$$-409]#,##0"/>
    </dxf>
    <dxf>
      <numFmt numFmtId="169" formatCode="[$$-409]#,##0"/>
    </dxf>
    <dxf>
      <numFmt numFmtId="169" formatCode="[$$-409]#,##0"/>
    </dxf>
    <dxf>
      <numFmt numFmtId="169" formatCode="[$$-409]#,##0"/>
    </dxf>
    <dxf>
      <numFmt numFmtId="169" formatCode="[$$-409]#,##0"/>
    </dxf>
    <dxf>
      <numFmt numFmtId="168" formatCode="[$$-409]#,##0.00"/>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 Target="richData/rdrichvalu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22/10/relationships/richValueRel" Target="richData/richValueRel.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[Call_center_dashboard.xlsx]Pivots!PivotTable7</c:name>
    <c:fmtId val="4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3310145523341745"/>
          <c:y val="0.11611584031359583"/>
          <c:w val="0.40384858736764367"/>
          <c:h val="0.87292162778762639"/>
        </c:manualLayout>
      </c:layout>
      <c:bar3DChart>
        <c:barDir val="bar"/>
        <c:grouping val="clustered"/>
        <c:varyColors val="0"/>
        <c:ser>
          <c:idx val="0"/>
          <c:order val="0"/>
          <c:tx>
            <c:strRef>
              <c:f>Pivots!$J$24</c:f>
              <c:strCache>
                <c:ptCount val="1"/>
                <c:pt idx="0">
                  <c:v>Total</c:v>
                </c:pt>
              </c:strCache>
            </c:strRef>
          </c:tx>
          <c:spPr>
            <a:solidFill>
              <a:schemeClr val="accent5">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Pivots!$I$25:$I$32</c:f>
              <c:strCache>
                <c:ptCount val="7"/>
                <c:pt idx="0">
                  <c:v>Sunday</c:v>
                </c:pt>
                <c:pt idx="1">
                  <c:v>Monday</c:v>
                </c:pt>
                <c:pt idx="2">
                  <c:v>Tuesday</c:v>
                </c:pt>
                <c:pt idx="3">
                  <c:v>Wednesday</c:v>
                </c:pt>
                <c:pt idx="4">
                  <c:v>Thursday</c:v>
                </c:pt>
                <c:pt idx="5">
                  <c:v>Friday</c:v>
                </c:pt>
                <c:pt idx="6">
                  <c:v>Saturday</c:v>
                </c:pt>
              </c:strCache>
            </c:strRef>
          </c:cat>
          <c:val>
            <c:numRef>
              <c:f>Pivots!$J$25:$J$32</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0957-478A-969E-9A5C2B97B4C1}"/>
            </c:ext>
          </c:extLst>
        </c:ser>
        <c:dLbls>
          <c:showLegendKey val="0"/>
          <c:showVal val="1"/>
          <c:showCatName val="0"/>
          <c:showSerName val="0"/>
          <c:showPercent val="0"/>
          <c:showBubbleSize val="0"/>
        </c:dLbls>
        <c:gapWidth val="150"/>
        <c:shape val="box"/>
        <c:axId val="1653106303"/>
        <c:axId val="1653106783"/>
        <c:axId val="0"/>
      </c:bar3DChart>
      <c:catAx>
        <c:axId val="1653106303"/>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106783"/>
        <c:crosses val="autoZero"/>
        <c:auto val="1"/>
        <c:lblAlgn val="ctr"/>
        <c:lblOffset val="100"/>
        <c:noMultiLvlLbl val="0"/>
      </c:catAx>
      <c:valAx>
        <c:axId val="1653106783"/>
        <c:scaling>
          <c:orientation val="minMax"/>
        </c:scaling>
        <c:delete val="0"/>
        <c:axPos val="t"/>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10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[Call_center_dashboard.xlsx]Pivots!PivotTable6</c:name>
    <c:fmtId val="29"/>
  </c:pivotSource>
  <c:chart>
    <c:title>
      <c:tx>
        <c:rich>
          <a:bodyPr rot="0" spcFirstLastPara="1" vertOverflow="ellipsis" vert="horz" wrap="square" anchor="ctr" anchorCtr="1"/>
          <a:lstStyle/>
          <a:p>
            <a:pPr>
              <a:defRPr sz="1800" b="1" i="0" u="none" strike="noStrike" kern="1200" spc="0" baseline="0">
                <a:solidFill>
                  <a:schemeClr val="accent6">
                    <a:lumMod val="75000"/>
                  </a:schemeClr>
                </a:solidFill>
                <a:latin typeface="+mn-lt"/>
                <a:ea typeface="+mn-ea"/>
                <a:cs typeface="+mn-cs"/>
              </a:defRPr>
            </a:pPr>
            <a:r>
              <a:rPr lang="en-IN" sz="1800" b="1">
                <a:solidFill>
                  <a:schemeClr val="accent6">
                    <a:lumMod val="75000"/>
                  </a:schemeClr>
                </a:solidFill>
              </a:rPr>
              <a:t>Calls</a:t>
            </a:r>
            <a:r>
              <a:rPr lang="en-IN" sz="1800" b="1" baseline="0">
                <a:solidFill>
                  <a:schemeClr val="accent6">
                    <a:lumMod val="75000"/>
                  </a:schemeClr>
                </a:solidFill>
              </a:rPr>
              <a:t> Trend</a:t>
            </a:r>
            <a:endParaRPr lang="en-IN" sz="1800" b="1">
              <a:solidFill>
                <a:schemeClr val="accent6">
                  <a:lumMod val="75000"/>
                </a:schemeClr>
              </a:solidFill>
            </a:endParaRPr>
          </a:p>
        </c:rich>
      </c:tx>
      <c:layout>
        <c:manualLayout>
          <c:xMode val="edge"/>
          <c:yMode val="edge"/>
          <c:x val="5.4861111111111117E-2"/>
          <c:y val="2.7777777777777776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6">
                  <a:lumMod val="7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alpha val="72000"/>
                  <a:lumMod val="68000"/>
                  <a:lumOff val="32000"/>
                </a:schemeClr>
              </a:gs>
              <a:gs pos="100000">
                <a:schemeClr val="accent6"/>
              </a:gs>
            </a:gsLst>
            <a:lin ang="16200000" scaled="1"/>
            <a:tileRect/>
          </a:gra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alpha val="72000"/>
                    <a:lumMod val="68000"/>
                    <a:lumOff val="32000"/>
                  </a:schemeClr>
                </a:gs>
                <a:gs pos="100000">
                  <a:schemeClr val="accent6"/>
                </a:gs>
              </a:gsLst>
              <a:lin ang="16200000" scaled="1"/>
              <a:tileRect/>
            </a:gradFill>
            <a:ln>
              <a:solidFill>
                <a:schemeClr val="accent6"/>
              </a:solid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B566-43DC-8E46-AE8C24913C91}"/>
            </c:ext>
          </c:extLst>
        </c:ser>
        <c:dLbls>
          <c:showLegendKey val="0"/>
          <c:showVal val="0"/>
          <c:showCatName val="0"/>
          <c:showSerName val="0"/>
          <c:showPercent val="0"/>
          <c:showBubbleSize val="0"/>
        </c:dLbls>
        <c:axId val="1653114943"/>
        <c:axId val="1653098623"/>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5"/>
            <c:spPr>
              <a:solidFill>
                <a:schemeClr val="accent6"/>
              </a:solidFill>
              <a:ln w="9525">
                <a:solidFill>
                  <a:schemeClr val="tx1"/>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B566-43DC-8E46-AE8C24913C91}"/>
            </c:ext>
          </c:extLst>
        </c:ser>
        <c:dLbls>
          <c:showLegendKey val="0"/>
          <c:showVal val="0"/>
          <c:showCatName val="0"/>
          <c:showSerName val="0"/>
          <c:showPercent val="0"/>
          <c:showBubbleSize val="0"/>
        </c:dLbls>
        <c:marker val="1"/>
        <c:smooth val="0"/>
        <c:axId val="1653114943"/>
        <c:axId val="1653098623"/>
      </c:lineChart>
      <c:catAx>
        <c:axId val="1653114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098623"/>
        <c:crosses val="autoZero"/>
        <c:auto val="1"/>
        <c:lblAlgn val="ctr"/>
        <c:lblOffset val="100"/>
        <c:noMultiLvlLbl val="0"/>
      </c:catAx>
      <c:valAx>
        <c:axId val="1653098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114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accent6">
                    <a:lumMod val="75000"/>
                  </a:schemeClr>
                </a:solidFill>
                <a:latin typeface="+mn-lt"/>
                <a:ea typeface="+mn-ea"/>
                <a:cs typeface="+mn-cs"/>
              </a:defRPr>
            </a:pPr>
            <a:r>
              <a:rPr lang="en-IN" b="1" i="1">
                <a:solidFill>
                  <a:schemeClr val="accent6">
                    <a:lumMod val="75000"/>
                  </a:schemeClr>
                </a:solidFill>
              </a:rPr>
              <a:t>Calls</a:t>
            </a:r>
          </a:p>
        </c:rich>
      </c:tx>
      <c:layout>
        <c:manualLayout>
          <c:xMode val="edge"/>
          <c:yMode val="edge"/>
          <c:x val="0.31471445466537301"/>
          <c:y val="1.7194948746867337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accent6">
                  <a:lumMod val="75000"/>
                </a:schemeClr>
              </a:solidFill>
              <a:latin typeface="+mn-lt"/>
              <a:ea typeface="+mn-ea"/>
              <a:cs typeface="+mn-cs"/>
            </a:defRPr>
          </a:pPr>
          <a:endParaRPr lang="en-US"/>
        </a:p>
      </c:txPr>
    </c:title>
    <c:autoTitleDeleted val="0"/>
    <c:plotArea>
      <c:layout>
        <c:manualLayout>
          <c:layoutTarget val="inner"/>
          <c:xMode val="edge"/>
          <c:yMode val="edge"/>
          <c:x val="0.10909948627462077"/>
          <c:y val="9.4572218107770362E-2"/>
          <c:w val="0.85074235147580601"/>
          <c:h val="0.90542778189222961"/>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Pivots!$G$46:$G$50</c:f>
              <c:strCache>
                <c:ptCount val="5"/>
                <c:pt idx="0">
                  <c:v>R01</c:v>
                </c:pt>
                <c:pt idx="1">
                  <c:v>R02</c:v>
                </c:pt>
                <c:pt idx="2">
                  <c:v>R03</c:v>
                </c:pt>
                <c:pt idx="3">
                  <c:v>R04</c:v>
                </c:pt>
                <c:pt idx="4">
                  <c:v>R05</c:v>
                </c:pt>
              </c:strCache>
            </c:strRef>
          </c:cat>
          <c:val>
            <c:numRef>
              <c:f>Pivots!$H$46:$H$50</c:f>
              <c:numCache>
                <c:formatCode>#,##0</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105F-4700-A0DB-7603C985318A}"/>
            </c:ext>
          </c:extLst>
        </c:ser>
        <c:ser>
          <c:idx val="1"/>
          <c:order val="1"/>
          <c:tx>
            <c:strRef>
              <c:f>Pivots!$J$45</c:f>
              <c:strCache>
                <c:ptCount val="1"/>
                <c:pt idx="0">
                  <c:v>sel calls</c:v>
                </c:pt>
              </c:strCache>
            </c:strRef>
          </c:tx>
          <c:spPr>
            <a:solidFill>
              <a:schemeClr val="accent5">
                <a:lumMod val="75000"/>
              </a:schemeClr>
            </a:solidFill>
            <a:ln>
              <a:noFill/>
            </a:ln>
            <a:effectLst/>
          </c:spPr>
          <c:invertIfNegative val="0"/>
          <c:val>
            <c:numRef>
              <c:f>Pivots!$J$46:$J$50</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105F-4700-A0DB-7603C985318A}"/>
            </c:ext>
          </c:extLst>
        </c:ser>
        <c:dLbls>
          <c:showLegendKey val="0"/>
          <c:showVal val="0"/>
          <c:showCatName val="0"/>
          <c:showSerName val="0"/>
          <c:showPercent val="0"/>
          <c:showBubbleSize val="0"/>
        </c:dLbls>
        <c:gapWidth val="25"/>
        <c:overlap val="100"/>
        <c:axId val="1618890927"/>
        <c:axId val="1618891407"/>
      </c:barChart>
      <c:catAx>
        <c:axId val="16188909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891407"/>
        <c:crosses val="autoZero"/>
        <c:auto val="1"/>
        <c:lblAlgn val="ctr"/>
        <c:lblOffset val="100"/>
        <c:noMultiLvlLbl val="0"/>
      </c:catAx>
      <c:valAx>
        <c:axId val="1618891407"/>
        <c:scaling>
          <c:orientation val="minMax"/>
          <c:min val="0"/>
        </c:scaling>
        <c:delete val="1"/>
        <c:axPos val="t"/>
        <c:numFmt formatCode="#,##0" sourceLinked="1"/>
        <c:majorTickMark val="none"/>
        <c:minorTickMark val="none"/>
        <c:tickLblPos val="nextTo"/>
        <c:crossAx val="1618890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400" b="1" i="1" u="none" strike="noStrike" kern="1200" spc="0" baseline="0">
                <a:solidFill>
                  <a:schemeClr val="accent6">
                    <a:lumMod val="75000"/>
                  </a:schemeClr>
                </a:solidFill>
                <a:latin typeface="+mn-lt"/>
                <a:ea typeface="+mn-ea"/>
                <a:cs typeface="+mn-cs"/>
              </a:defRPr>
            </a:pPr>
            <a:r>
              <a:rPr lang="en-IN" sz="1400" b="1" i="1" u="none" strike="noStrike" kern="1200" spc="0" baseline="0">
                <a:solidFill>
                  <a:schemeClr val="accent6">
                    <a:lumMod val="75000"/>
                  </a:schemeClr>
                </a:solidFill>
                <a:latin typeface="+mn-lt"/>
                <a:ea typeface="+mn-ea"/>
                <a:cs typeface="+mn-cs"/>
              </a:rPr>
              <a:t>Amount</a:t>
            </a:r>
          </a:p>
        </c:rich>
      </c:tx>
      <c:layout>
        <c:manualLayout>
          <c:xMode val="edge"/>
          <c:yMode val="edge"/>
          <c:x val="0.23797382644677187"/>
          <c:y val="1.2928349121075856E-2"/>
        </c:manualLayout>
      </c:layout>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chemeClr val="accent6">
                  <a:lumMod val="75000"/>
                </a:schemeClr>
              </a:solidFill>
              <a:latin typeface="+mn-lt"/>
              <a:ea typeface="+mn-ea"/>
              <a:cs typeface="+mn-cs"/>
            </a:defRPr>
          </a:pPr>
          <a:endParaRPr lang="en-US"/>
        </a:p>
      </c:txPr>
    </c:title>
    <c:autoTitleDeleted val="0"/>
    <c:plotArea>
      <c:layout>
        <c:manualLayout>
          <c:layoutTarget val="inner"/>
          <c:xMode val="edge"/>
          <c:yMode val="edge"/>
          <c:x val="4.323902670811143E-2"/>
          <c:y val="9.480789355455628E-2"/>
          <c:w val="0.90487422561355102"/>
          <c:h val="0.90519210644544368"/>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Pivots!$G$46:$G$50</c:f>
              <c:strCache>
                <c:ptCount val="5"/>
                <c:pt idx="0">
                  <c:v>R01</c:v>
                </c:pt>
                <c:pt idx="1">
                  <c:v>R02</c:v>
                </c:pt>
                <c:pt idx="2">
                  <c:v>R03</c:v>
                </c:pt>
                <c:pt idx="3">
                  <c:v>R04</c:v>
                </c:pt>
                <c:pt idx="4">
                  <c:v>R05</c:v>
                </c:pt>
              </c:strCache>
            </c:strRef>
          </c:cat>
          <c:val>
            <c:numRef>
              <c:f>Pivots!$I$46:$I$50</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50B-4C7A-87EA-8A8155DC5256}"/>
            </c:ext>
          </c:extLst>
        </c:ser>
        <c:ser>
          <c:idx val="1"/>
          <c:order val="1"/>
          <c:tx>
            <c:strRef>
              <c:f>Pivots!$K$45</c:f>
              <c:strCache>
                <c:ptCount val="1"/>
                <c:pt idx="0">
                  <c:v>sel Amount</c:v>
                </c:pt>
              </c:strCache>
            </c:strRef>
          </c:tx>
          <c:spPr>
            <a:solidFill>
              <a:srgbClr val="C00000"/>
            </a:solidFill>
            <a:ln>
              <a:noFill/>
            </a:ln>
            <a:effectLst/>
          </c:spPr>
          <c:invertIfNegative val="0"/>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2-850B-4C7A-87EA-8A8155DC5256}"/>
              </c:ext>
            </c:extLst>
          </c:dPt>
          <c:dLbls>
            <c:delete val="1"/>
          </c:dLbls>
          <c:val>
            <c:numRef>
              <c:f>Pivots!$K$46:$K$50</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3-850B-4C7A-87EA-8A8155DC5256}"/>
            </c:ext>
          </c:extLst>
        </c:ser>
        <c:dLbls>
          <c:dLblPos val="outEnd"/>
          <c:showLegendKey val="0"/>
          <c:showVal val="1"/>
          <c:showCatName val="0"/>
          <c:showSerName val="0"/>
          <c:showPercent val="0"/>
          <c:showBubbleSize val="0"/>
        </c:dLbls>
        <c:gapWidth val="25"/>
        <c:overlap val="100"/>
        <c:axId val="1618892847"/>
        <c:axId val="1618893807"/>
      </c:barChart>
      <c:catAx>
        <c:axId val="1618892847"/>
        <c:scaling>
          <c:orientation val="maxMin"/>
        </c:scaling>
        <c:delete val="1"/>
        <c:axPos val="l"/>
        <c:numFmt formatCode="General" sourceLinked="1"/>
        <c:majorTickMark val="out"/>
        <c:minorTickMark val="none"/>
        <c:tickLblPos val="nextTo"/>
        <c:crossAx val="1618893807"/>
        <c:crosses val="autoZero"/>
        <c:auto val="1"/>
        <c:lblAlgn val="ctr"/>
        <c:lblOffset val="100"/>
        <c:noMultiLvlLbl val="0"/>
      </c:catAx>
      <c:valAx>
        <c:axId val="1618893807"/>
        <c:scaling>
          <c:orientation val="minMax"/>
        </c:scaling>
        <c:delete val="1"/>
        <c:axPos val="t"/>
        <c:numFmt formatCode="\$#,###.0,\k" sourceLinked="1"/>
        <c:majorTickMark val="out"/>
        <c:minorTickMark val="none"/>
        <c:tickLblPos val="nextTo"/>
        <c:crossAx val="161889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3">
                    <a:lumMod val="75000"/>
                  </a:schemeClr>
                </a:solidFill>
              </a:rPr>
              <a:t>Female</a:t>
            </a:r>
            <a:r>
              <a:rPr lang="en-US"/>
              <a:t> vs </a:t>
            </a:r>
            <a:r>
              <a:rPr lang="en-US">
                <a:solidFill>
                  <a:schemeClr val="accent5"/>
                </a:solidFill>
              </a:rPr>
              <a:t>Male </a:t>
            </a:r>
            <a:r>
              <a:rPr lang="en-US">
                <a:solidFill>
                  <a:sysClr val="windowText" lastClr="000000"/>
                </a:solidFill>
              </a:rPr>
              <a:t>Callers</a:t>
            </a:r>
          </a:p>
        </c:rich>
      </c:tx>
      <c:layout>
        <c:manualLayout>
          <c:xMode val="edge"/>
          <c:yMode val="edge"/>
          <c:x val="0.11884962319403881"/>
          <c:y val="2.75747667001037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Pivots!$B$63:$B$64</c:f>
              <c:strCache>
                <c:ptCount val="1"/>
                <c:pt idx="0">
                  <c:v>Female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Pivots!$A$65:$A$68</c:f>
              <c:strCache>
                <c:ptCount val="3"/>
                <c:pt idx="0">
                  <c:v>Cincinnati</c:v>
                </c:pt>
                <c:pt idx="1">
                  <c:v>Cleveland</c:v>
                </c:pt>
                <c:pt idx="2">
                  <c:v>Columbus</c:v>
                </c:pt>
              </c:strCache>
            </c:strRef>
          </c:cat>
          <c:val>
            <c:numRef>
              <c:f>Pivots!$B$65:$B$68</c:f>
              <c:numCache>
                <c:formatCode>#,##0</c:formatCode>
                <c:ptCount val="3"/>
                <c:pt idx="0">
                  <c:v>144</c:v>
                </c:pt>
                <c:pt idx="1">
                  <c:v>326</c:v>
                </c:pt>
                <c:pt idx="2">
                  <c:v>129</c:v>
                </c:pt>
              </c:numCache>
            </c:numRef>
          </c:val>
          <c:extLst>
            <c:ext xmlns:c16="http://schemas.microsoft.com/office/drawing/2014/chart" uri="{C3380CC4-5D6E-409C-BE32-E72D297353CC}">
              <c16:uniqueId val="{00000000-0DCC-425C-A37E-61DF876C9077}"/>
            </c:ext>
          </c:extLst>
        </c:ser>
        <c:ser>
          <c:idx val="1"/>
          <c:order val="1"/>
          <c:tx>
            <c:strRef>
              <c:f>Pivots!$C$63:$C$64</c:f>
              <c:strCache>
                <c:ptCount val="1"/>
                <c:pt idx="0">
                  <c:v>Male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Pivots!$A$65:$A$68</c:f>
              <c:strCache>
                <c:ptCount val="3"/>
                <c:pt idx="0">
                  <c:v>Cincinnati</c:v>
                </c:pt>
                <c:pt idx="1">
                  <c:v>Cleveland</c:v>
                </c:pt>
                <c:pt idx="2">
                  <c:v>Columbus</c:v>
                </c:pt>
              </c:strCache>
            </c:strRef>
          </c:cat>
          <c:val>
            <c:numRef>
              <c:f>Pivots!$C$65:$C$68</c:f>
              <c:numCache>
                <c:formatCode>#,##0</c:formatCode>
                <c:ptCount val="3"/>
                <c:pt idx="0">
                  <c:v>132</c:v>
                </c:pt>
                <c:pt idx="1">
                  <c:v>63</c:v>
                </c:pt>
                <c:pt idx="2">
                  <c:v>206</c:v>
                </c:pt>
              </c:numCache>
            </c:numRef>
          </c:val>
          <c:extLst>
            <c:ext xmlns:c16="http://schemas.microsoft.com/office/drawing/2014/chart" uri="{C3380CC4-5D6E-409C-BE32-E72D297353CC}">
              <c16:uniqueId val="{00000001-0DCC-425C-A37E-61DF876C9077}"/>
            </c:ext>
          </c:extLst>
        </c:ser>
        <c:dLbls>
          <c:dLblPos val="ctr"/>
          <c:showLegendKey val="0"/>
          <c:showVal val="1"/>
          <c:showCatName val="0"/>
          <c:showSerName val="0"/>
          <c:showPercent val="0"/>
          <c:showBubbleSize val="0"/>
        </c:dLbls>
        <c:gapWidth val="25"/>
        <c:overlap val="100"/>
        <c:axId val="1653121183"/>
        <c:axId val="1653137983"/>
      </c:barChart>
      <c:catAx>
        <c:axId val="1653121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3137983"/>
        <c:crosses val="autoZero"/>
        <c:auto val="1"/>
        <c:lblAlgn val="ctr"/>
        <c:lblOffset val="100"/>
        <c:noMultiLvlLbl val="0"/>
      </c:catAx>
      <c:valAx>
        <c:axId val="1653137983"/>
        <c:scaling>
          <c:orientation val="minMax"/>
        </c:scaling>
        <c:delete val="1"/>
        <c:axPos val="l"/>
        <c:numFmt formatCode="0%" sourceLinked="1"/>
        <c:majorTickMark val="out"/>
        <c:minorTickMark val="none"/>
        <c:tickLblPos val="nextTo"/>
        <c:crossAx val="165312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[Call_center_dashboard.xlsx]Pivots!rep Satisfaction</c:name>
    <c:fmtId val="8"/>
  </c:pivotSource>
  <c:chart>
    <c:title>
      <c:tx>
        <c:rich>
          <a:bodyPr rot="0" spcFirstLastPara="1" vertOverflow="ellipsis" vert="horz" wrap="square" anchor="ctr" anchorCtr="1"/>
          <a:lstStyle/>
          <a:p>
            <a:pPr>
              <a:defRPr sz="1600" b="1" i="0" u="none" strike="noStrike" kern="1200" spc="0" baseline="0">
                <a:solidFill>
                  <a:schemeClr val="accent1"/>
                </a:solidFill>
                <a:latin typeface="+mn-lt"/>
                <a:ea typeface="+mn-ea"/>
                <a:cs typeface="+mn-cs"/>
              </a:defRPr>
            </a:pPr>
            <a:r>
              <a:rPr lang="en-IN" sz="1600" b="1">
                <a:solidFill>
                  <a:schemeClr val="accent1"/>
                </a:solidFill>
              </a:rPr>
              <a:t>Rating</a:t>
            </a:r>
          </a:p>
        </c:rich>
      </c:tx>
      <c:layout>
        <c:manualLayout>
          <c:xMode val="edge"/>
          <c:yMode val="edge"/>
          <c:x val="0.30954019659249199"/>
          <c:y val="3.204327608436212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Pivots!$B$71</c:f>
              <c:strCache>
                <c:ptCount val="1"/>
                <c:pt idx="0">
                  <c:v>Total</c:v>
                </c:pt>
              </c:strCache>
            </c:strRef>
          </c:tx>
          <c:spPr>
            <a:solidFill>
              <a:schemeClr val="accent1"/>
            </a:solidFill>
            <a:ln>
              <a:noFill/>
            </a:ln>
            <a:effectLst/>
          </c:spPr>
          <c:invertIfNegative val="0"/>
          <c:cat>
            <c:strRef>
              <c:f>Pivots!$A$72:$A$77</c:f>
              <c:strCache>
                <c:ptCount val="5"/>
                <c:pt idx="0">
                  <c:v>1</c:v>
                </c:pt>
                <c:pt idx="1">
                  <c:v>2</c:v>
                </c:pt>
                <c:pt idx="2">
                  <c:v>3</c:v>
                </c:pt>
                <c:pt idx="3">
                  <c:v>4</c:v>
                </c:pt>
                <c:pt idx="4">
                  <c:v>5</c:v>
                </c:pt>
              </c:strCache>
            </c:strRef>
          </c:cat>
          <c:val>
            <c:numRef>
              <c:f>Pivots!$B$72:$B$77</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726D-4FDB-A127-7195CF7507A0}"/>
            </c:ext>
          </c:extLst>
        </c:ser>
        <c:dLbls>
          <c:showLegendKey val="0"/>
          <c:showVal val="0"/>
          <c:showCatName val="0"/>
          <c:showSerName val="0"/>
          <c:showPercent val="0"/>
          <c:showBubbleSize val="0"/>
        </c:dLbls>
        <c:gapWidth val="25"/>
        <c:overlap val="-27"/>
        <c:axId val="1705102831"/>
        <c:axId val="1705098031"/>
      </c:barChart>
      <c:catAx>
        <c:axId val="17051028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098031"/>
        <c:crosses val="autoZero"/>
        <c:auto val="1"/>
        <c:lblAlgn val="ctr"/>
        <c:lblOffset val="100"/>
        <c:noMultiLvlLbl val="0"/>
      </c:catAx>
      <c:valAx>
        <c:axId val="1705098031"/>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10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chart" Target="../charts/chart3.xml"/><Relationship Id="rId3" Type="http://schemas.openxmlformats.org/officeDocument/2006/relationships/image" Target="../media/image8.png"/><Relationship Id="rId7" Type="http://schemas.openxmlformats.org/officeDocument/2006/relationships/image" Target="../media/image12.png"/><Relationship Id="rId12" Type="http://schemas.openxmlformats.org/officeDocument/2006/relationships/chart" Target="../charts/chart2.xml"/><Relationship Id="rId2" Type="http://schemas.openxmlformats.org/officeDocument/2006/relationships/image" Target="../media/image7.svg"/><Relationship Id="rId16" Type="http://schemas.openxmlformats.org/officeDocument/2006/relationships/chart" Target="../charts/chart6.xml"/><Relationship Id="rId1" Type="http://schemas.openxmlformats.org/officeDocument/2006/relationships/image" Target="../media/image6.png"/><Relationship Id="rId6" Type="http://schemas.openxmlformats.org/officeDocument/2006/relationships/image" Target="../media/image11.svg"/><Relationship Id="rId11" Type="http://schemas.openxmlformats.org/officeDocument/2006/relationships/chart" Target="../charts/chart1.xml"/><Relationship Id="rId5" Type="http://schemas.openxmlformats.org/officeDocument/2006/relationships/image" Target="../media/image10.png"/><Relationship Id="rId15" Type="http://schemas.openxmlformats.org/officeDocument/2006/relationships/chart" Target="../charts/chart5.xml"/><Relationship Id="rId10" Type="http://schemas.openxmlformats.org/officeDocument/2006/relationships/image" Target="../media/image15.svg"/><Relationship Id="rId4" Type="http://schemas.openxmlformats.org/officeDocument/2006/relationships/image" Target="../media/image9.svg"/><Relationship Id="rId9" Type="http://schemas.openxmlformats.org/officeDocument/2006/relationships/image" Target="../media/image14.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3.svg"/><Relationship Id="rId3" Type="http://schemas.openxmlformats.org/officeDocument/2006/relationships/image" Target="../media/image18.png"/><Relationship Id="rId7" Type="http://schemas.openxmlformats.org/officeDocument/2006/relationships/image" Target="../media/image22.png"/><Relationship Id="rId2" Type="http://schemas.openxmlformats.org/officeDocument/2006/relationships/image" Target="../media/image17.svg"/><Relationship Id="rId1" Type="http://schemas.openxmlformats.org/officeDocument/2006/relationships/image" Target="../media/image16.png"/><Relationship Id="rId6" Type="http://schemas.openxmlformats.org/officeDocument/2006/relationships/image" Target="../media/image21.svg"/><Relationship Id="rId5" Type="http://schemas.openxmlformats.org/officeDocument/2006/relationships/image" Target="../media/image20.png"/><Relationship Id="rId10" Type="http://schemas.openxmlformats.org/officeDocument/2006/relationships/image" Target="../media/image25.svg"/><Relationship Id="rId4" Type="http://schemas.openxmlformats.org/officeDocument/2006/relationships/image" Target="../media/image19.svg"/><Relationship Id="rId9"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4</xdr:col>
      <xdr:colOff>0</xdr:colOff>
      <xdr:row>8</xdr:row>
      <xdr:rowOff>0</xdr:rowOff>
    </xdr:to>
    <xdr:sp macro="" textlink="Pivots!A4">
      <xdr:nvSpPr>
        <xdr:cNvPr id="2" name="Rectangle 1">
          <a:extLst>
            <a:ext uri="{FF2B5EF4-FFF2-40B4-BE49-F238E27FC236}">
              <a16:creationId xmlns:a16="http://schemas.microsoft.com/office/drawing/2014/main" id="{47977FDD-B179-6F47-1516-227E2BBDF144}"/>
            </a:ext>
          </a:extLst>
        </xdr:cNvPr>
        <xdr:cNvSpPr/>
      </xdr:nvSpPr>
      <xdr:spPr>
        <a:xfrm>
          <a:off x="571500" y="548640"/>
          <a:ext cx="1341120" cy="914400"/>
        </a:xfrm>
        <a:prstGeom prst="rect">
          <a:avLst/>
        </a:prstGeom>
        <a:solidFill>
          <a:schemeClr val="accent6"/>
        </a:solidFill>
        <a:ln>
          <a:solidFill>
            <a:schemeClr val="accent1">
              <a:shade val="15000"/>
              <a:alpha val="96000"/>
            </a:schemeClr>
          </a:solidFill>
        </a:ln>
        <a:effectLst>
          <a:outerShdw blurRad="50800" dist="38100" dir="5400000" algn="t" rotWithShape="0">
            <a:prstClr val="black">
              <a:alpha val="4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A206A2-5618-4A30-A02E-79409D54F1A8}" type="TxLink">
            <a:rPr lang="en-US" sz="2800" b="1" i="0" u="none" strike="noStrike">
              <a:solidFill>
                <a:schemeClr val="bg1"/>
              </a:solidFill>
              <a:latin typeface="Aptos"/>
            </a:rPr>
            <a:pPr algn="ctr"/>
            <a:t>1,000</a:t>
          </a:fld>
          <a:endParaRPr lang="en-IN" sz="2800" b="1">
            <a:solidFill>
              <a:schemeClr val="bg1"/>
            </a:solidFill>
          </a:endParaRPr>
        </a:p>
      </xdr:txBody>
    </xdr:sp>
    <xdr:clientData/>
  </xdr:twoCellAnchor>
  <xdr:twoCellAnchor>
    <xdr:from>
      <xdr:col>2</xdr:col>
      <xdr:colOff>160020</xdr:colOff>
      <xdr:row>3</xdr:row>
      <xdr:rowOff>38100</xdr:rowOff>
    </xdr:from>
    <xdr:to>
      <xdr:col>3</xdr:col>
      <xdr:colOff>350520</xdr:colOff>
      <xdr:row>4</xdr:row>
      <xdr:rowOff>45720</xdr:rowOff>
    </xdr:to>
    <xdr:sp macro="" textlink="">
      <xdr:nvSpPr>
        <xdr:cNvPr id="3" name="TextBox 2">
          <a:extLst>
            <a:ext uri="{FF2B5EF4-FFF2-40B4-BE49-F238E27FC236}">
              <a16:creationId xmlns:a16="http://schemas.microsoft.com/office/drawing/2014/main" id="{C9139162-D9BB-5E72-425F-FA0DF3B62E10}"/>
            </a:ext>
          </a:extLst>
        </xdr:cNvPr>
        <xdr:cNvSpPr txBox="1"/>
      </xdr:nvSpPr>
      <xdr:spPr>
        <a:xfrm>
          <a:off x="731520" y="586740"/>
          <a:ext cx="8610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solidFill>
                <a:schemeClr val="bg1"/>
              </a:solidFill>
            </a:rPr>
            <a:t>Calls</a:t>
          </a:r>
        </a:p>
      </xdr:txBody>
    </xdr:sp>
    <xdr:clientData/>
  </xdr:twoCellAnchor>
  <xdr:twoCellAnchor>
    <xdr:from>
      <xdr:col>2</xdr:col>
      <xdr:colOff>396240</xdr:colOff>
      <xdr:row>6</xdr:row>
      <xdr:rowOff>121920</xdr:rowOff>
    </xdr:from>
    <xdr:to>
      <xdr:col>3</xdr:col>
      <xdr:colOff>289560</xdr:colOff>
      <xdr:row>7</xdr:row>
      <xdr:rowOff>137160</xdr:rowOff>
    </xdr:to>
    <xdr:sp macro="" textlink="Pivots!A9">
      <xdr:nvSpPr>
        <xdr:cNvPr id="4" name="TextBox 3">
          <a:extLst>
            <a:ext uri="{FF2B5EF4-FFF2-40B4-BE49-F238E27FC236}">
              <a16:creationId xmlns:a16="http://schemas.microsoft.com/office/drawing/2014/main" id="{B80D1F8E-8738-C773-C0F0-480A5323BCEE}"/>
            </a:ext>
          </a:extLst>
        </xdr:cNvPr>
        <xdr:cNvSpPr txBox="1"/>
      </xdr:nvSpPr>
      <xdr:spPr>
        <a:xfrm>
          <a:off x="967740" y="1219200"/>
          <a:ext cx="563880" cy="1981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834FFB-88CA-4898-BC7C-11BB28CF5CCD}" type="TxLink">
            <a:rPr lang="en-US" sz="1100" b="0" i="0" u="none" strike="noStrike">
              <a:solidFill>
                <a:schemeClr val="bg1"/>
              </a:solidFill>
              <a:latin typeface="Aptos"/>
            </a:rPr>
            <a:pPr algn="ctr"/>
            <a:t>186</a:t>
          </a:fld>
          <a:endParaRPr lang="en-IN" sz="1100">
            <a:solidFill>
              <a:schemeClr val="bg1"/>
            </a:solidFill>
          </a:endParaRPr>
        </a:p>
      </xdr:txBody>
    </xdr:sp>
    <xdr:clientData/>
  </xdr:twoCellAnchor>
  <xdr:twoCellAnchor editAs="oneCell">
    <xdr:from>
      <xdr:col>2</xdr:col>
      <xdr:colOff>38100</xdr:colOff>
      <xdr:row>3</xdr:row>
      <xdr:rowOff>7621</xdr:rowOff>
    </xdr:from>
    <xdr:to>
      <xdr:col>2</xdr:col>
      <xdr:colOff>320040</xdr:colOff>
      <xdr:row>4</xdr:row>
      <xdr:rowOff>88699</xdr:rowOff>
    </xdr:to>
    <xdr:pic>
      <xdr:nvPicPr>
        <xdr:cNvPr id="5" name="Graphic 4" descr="Receiver with solid fill">
          <a:extLst>
            <a:ext uri="{FF2B5EF4-FFF2-40B4-BE49-F238E27FC236}">
              <a16:creationId xmlns:a16="http://schemas.microsoft.com/office/drawing/2014/main" id="{DF107781-461C-41BB-8B25-A864899F57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600" y="556261"/>
          <a:ext cx="281940" cy="259079"/>
        </a:xfrm>
        <a:prstGeom prst="rect">
          <a:avLst/>
        </a:prstGeom>
      </xdr:spPr>
    </xdr:pic>
    <xdr:clientData/>
  </xdr:twoCellAnchor>
  <xdr:twoCellAnchor>
    <xdr:from>
      <xdr:col>2</xdr:col>
      <xdr:colOff>0</xdr:colOff>
      <xdr:row>10</xdr:row>
      <xdr:rowOff>0</xdr:rowOff>
    </xdr:from>
    <xdr:to>
      <xdr:col>4</xdr:col>
      <xdr:colOff>0</xdr:colOff>
      <xdr:row>15</xdr:row>
      <xdr:rowOff>0</xdr:rowOff>
    </xdr:to>
    <xdr:sp macro="" textlink="Pivots!B4">
      <xdr:nvSpPr>
        <xdr:cNvPr id="7" name="Rectangle 6">
          <a:extLst>
            <a:ext uri="{FF2B5EF4-FFF2-40B4-BE49-F238E27FC236}">
              <a16:creationId xmlns:a16="http://schemas.microsoft.com/office/drawing/2014/main" id="{5BFB27C0-1140-490D-9E6E-098FF175DE92}"/>
            </a:ext>
          </a:extLst>
        </xdr:cNvPr>
        <xdr:cNvSpPr/>
      </xdr:nvSpPr>
      <xdr:spPr>
        <a:xfrm>
          <a:off x="571500" y="1828800"/>
          <a:ext cx="1341120" cy="914400"/>
        </a:xfrm>
        <a:prstGeom prst="rect">
          <a:avLst/>
        </a:prstGeom>
        <a:solidFill>
          <a:schemeClr val="accent6"/>
        </a:solidFill>
        <a:ln>
          <a:solidFill>
            <a:schemeClr val="accent1">
              <a:shade val="15000"/>
              <a:alpha val="96000"/>
            </a:schemeClr>
          </a:solidFill>
        </a:ln>
        <a:effectLst>
          <a:outerShdw blurRad="50800" dist="38100" dir="5400000" algn="t" rotWithShape="0">
            <a:prstClr val="black">
              <a:alpha val="4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29B41C1-B4B3-459A-9125-87A90C5C160F}" type="TxLink">
            <a:rPr lang="en-US" sz="2400" b="1" i="0" u="none" strike="noStrike">
              <a:solidFill>
                <a:schemeClr val="bg1"/>
              </a:solidFill>
              <a:latin typeface="Aptos"/>
              <a:ea typeface="+mn-ea"/>
              <a:cs typeface="+mn-cs"/>
            </a:rPr>
            <a:pPr marL="0" indent="0" algn="ctr"/>
            <a:t>$96,623</a:t>
          </a:fld>
          <a:endParaRPr lang="en-IN" sz="2400" b="1" i="0" u="none" strike="noStrike">
            <a:solidFill>
              <a:schemeClr val="bg1"/>
            </a:solidFill>
            <a:latin typeface="Aptos"/>
            <a:ea typeface="+mn-ea"/>
            <a:cs typeface="+mn-cs"/>
          </a:endParaRPr>
        </a:p>
      </xdr:txBody>
    </xdr:sp>
    <xdr:clientData/>
  </xdr:twoCellAnchor>
  <xdr:twoCellAnchor>
    <xdr:from>
      <xdr:col>2</xdr:col>
      <xdr:colOff>160020</xdr:colOff>
      <xdr:row>10</xdr:row>
      <xdr:rowOff>38100</xdr:rowOff>
    </xdr:from>
    <xdr:to>
      <xdr:col>3</xdr:col>
      <xdr:colOff>350520</xdr:colOff>
      <xdr:row>11</xdr:row>
      <xdr:rowOff>45720</xdr:rowOff>
    </xdr:to>
    <xdr:sp macro="" textlink="">
      <xdr:nvSpPr>
        <xdr:cNvPr id="8" name="TextBox 7">
          <a:extLst>
            <a:ext uri="{FF2B5EF4-FFF2-40B4-BE49-F238E27FC236}">
              <a16:creationId xmlns:a16="http://schemas.microsoft.com/office/drawing/2014/main" id="{74A18109-8537-4A76-AD87-2F9B4E26EEAF}"/>
            </a:ext>
          </a:extLst>
        </xdr:cNvPr>
        <xdr:cNvSpPr txBox="1"/>
      </xdr:nvSpPr>
      <xdr:spPr>
        <a:xfrm>
          <a:off x="731520" y="1866900"/>
          <a:ext cx="86106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solidFill>
                <a:schemeClr val="bg1"/>
              </a:solidFill>
            </a:rPr>
            <a:t>Amount</a:t>
          </a:r>
        </a:p>
      </xdr:txBody>
    </xdr:sp>
    <xdr:clientData/>
  </xdr:twoCellAnchor>
  <xdr:twoCellAnchor>
    <xdr:from>
      <xdr:col>2</xdr:col>
      <xdr:colOff>396240</xdr:colOff>
      <xdr:row>13</xdr:row>
      <xdr:rowOff>121920</xdr:rowOff>
    </xdr:from>
    <xdr:to>
      <xdr:col>3</xdr:col>
      <xdr:colOff>289560</xdr:colOff>
      <xdr:row>14</xdr:row>
      <xdr:rowOff>137160</xdr:rowOff>
    </xdr:to>
    <xdr:sp macro="" textlink="Pivots!B9">
      <xdr:nvSpPr>
        <xdr:cNvPr id="9" name="TextBox 8">
          <a:extLst>
            <a:ext uri="{FF2B5EF4-FFF2-40B4-BE49-F238E27FC236}">
              <a16:creationId xmlns:a16="http://schemas.microsoft.com/office/drawing/2014/main" id="{83B42CE9-6B88-4042-AB1B-74F2BE06B06B}"/>
            </a:ext>
          </a:extLst>
        </xdr:cNvPr>
        <xdr:cNvSpPr txBox="1"/>
      </xdr:nvSpPr>
      <xdr:spPr>
        <a:xfrm>
          <a:off x="967740" y="2499360"/>
          <a:ext cx="563880" cy="1981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F65436-5F1C-41AA-AC08-299ECE5F7C0C}" type="TxLink">
            <a:rPr lang="en-US" sz="1100" b="0" i="0" u="none" strike="noStrike">
              <a:solidFill>
                <a:schemeClr val="bg1"/>
              </a:solidFill>
              <a:latin typeface="Aptos"/>
              <a:ea typeface="+mn-ea"/>
              <a:cs typeface="+mn-cs"/>
            </a:rPr>
            <a:pPr marL="0" indent="0" algn="ctr"/>
            <a:t>$16,651</a:t>
          </a:fld>
          <a:endParaRPr lang="en-IN" sz="1100" b="0" i="0" u="none" strike="noStrike">
            <a:solidFill>
              <a:schemeClr val="bg1"/>
            </a:solidFill>
            <a:latin typeface="Aptos"/>
            <a:ea typeface="+mn-ea"/>
            <a:cs typeface="+mn-cs"/>
          </a:endParaRPr>
        </a:p>
      </xdr:txBody>
    </xdr:sp>
    <xdr:clientData/>
  </xdr:twoCellAnchor>
  <xdr:twoCellAnchor editAs="oneCell">
    <xdr:from>
      <xdr:col>2</xdr:col>
      <xdr:colOff>50733</xdr:colOff>
      <xdr:row>10</xdr:row>
      <xdr:rowOff>7621</xdr:rowOff>
    </xdr:from>
    <xdr:to>
      <xdr:col>2</xdr:col>
      <xdr:colOff>307406</xdr:colOff>
      <xdr:row>11</xdr:row>
      <xdr:rowOff>83820</xdr:rowOff>
    </xdr:to>
    <xdr:pic>
      <xdr:nvPicPr>
        <xdr:cNvPr id="10" name="Graphic 9">
          <a:extLst>
            <a:ext uri="{FF2B5EF4-FFF2-40B4-BE49-F238E27FC236}">
              <a16:creationId xmlns:a16="http://schemas.microsoft.com/office/drawing/2014/main" id="{ECED299E-E47A-4039-9E77-C9DD539343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622233" y="1812358"/>
          <a:ext cx="256673" cy="256673"/>
        </a:xfrm>
        <a:prstGeom prst="rect">
          <a:avLst/>
        </a:prstGeom>
      </xdr:spPr>
    </xdr:pic>
    <xdr:clientData/>
  </xdr:twoCellAnchor>
  <xdr:twoCellAnchor>
    <xdr:from>
      <xdr:col>2</xdr:col>
      <xdr:colOff>0</xdr:colOff>
      <xdr:row>17</xdr:row>
      <xdr:rowOff>0</xdr:rowOff>
    </xdr:from>
    <xdr:to>
      <xdr:col>4</xdr:col>
      <xdr:colOff>0</xdr:colOff>
      <xdr:row>22</xdr:row>
      <xdr:rowOff>0</xdr:rowOff>
    </xdr:to>
    <xdr:sp macro="" textlink="Pivots!C4">
      <xdr:nvSpPr>
        <xdr:cNvPr id="23" name="Rectangle 22">
          <a:extLst>
            <a:ext uri="{FF2B5EF4-FFF2-40B4-BE49-F238E27FC236}">
              <a16:creationId xmlns:a16="http://schemas.microsoft.com/office/drawing/2014/main" id="{A7A54971-0DE5-4EA6-A2B9-DC59C3DE7D15}"/>
            </a:ext>
          </a:extLst>
        </xdr:cNvPr>
        <xdr:cNvSpPr/>
      </xdr:nvSpPr>
      <xdr:spPr>
        <a:xfrm>
          <a:off x="571500" y="3108960"/>
          <a:ext cx="1341120" cy="914400"/>
        </a:xfrm>
        <a:prstGeom prst="rect">
          <a:avLst/>
        </a:prstGeom>
        <a:solidFill>
          <a:schemeClr val="accent6"/>
        </a:solidFill>
        <a:ln>
          <a:solidFill>
            <a:schemeClr val="accent1">
              <a:shade val="15000"/>
              <a:alpha val="96000"/>
            </a:schemeClr>
          </a:solidFill>
        </a:ln>
        <a:effectLst>
          <a:outerShdw blurRad="50800" dist="38100" dir="5400000" algn="t" rotWithShape="0">
            <a:prstClr val="black">
              <a:alpha val="4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ED0AF11-FD34-4394-9ABE-4655FAD0310F}" type="TxLink">
            <a:rPr lang="en-US" sz="2400" b="1" i="0" u="none" strike="noStrike">
              <a:solidFill>
                <a:schemeClr val="bg1"/>
              </a:solidFill>
              <a:latin typeface="Aptos"/>
              <a:ea typeface="+mn-ea"/>
              <a:cs typeface="+mn-cs"/>
            </a:rPr>
            <a:pPr marL="0" indent="0" algn="ctr"/>
            <a:t>89,850</a:t>
          </a:fld>
          <a:endParaRPr lang="en-IN" sz="2400" b="1" i="0" u="none" strike="noStrike">
            <a:solidFill>
              <a:schemeClr val="bg1"/>
            </a:solidFill>
            <a:latin typeface="Aptos"/>
            <a:ea typeface="+mn-ea"/>
            <a:cs typeface="+mn-cs"/>
          </a:endParaRPr>
        </a:p>
      </xdr:txBody>
    </xdr:sp>
    <xdr:clientData/>
  </xdr:twoCellAnchor>
  <xdr:twoCellAnchor>
    <xdr:from>
      <xdr:col>2</xdr:col>
      <xdr:colOff>280336</xdr:colOff>
      <xdr:row>17</xdr:row>
      <xdr:rowOff>38100</xdr:rowOff>
    </xdr:from>
    <xdr:to>
      <xdr:col>3</xdr:col>
      <xdr:colOff>470836</xdr:colOff>
      <xdr:row>18</xdr:row>
      <xdr:rowOff>45720</xdr:rowOff>
    </xdr:to>
    <xdr:sp macro="" textlink="">
      <xdr:nvSpPr>
        <xdr:cNvPr id="24" name="TextBox 23">
          <a:extLst>
            <a:ext uri="{FF2B5EF4-FFF2-40B4-BE49-F238E27FC236}">
              <a16:creationId xmlns:a16="http://schemas.microsoft.com/office/drawing/2014/main" id="{FCDF402C-BC5D-476A-8DDC-730C4F54C8D3}"/>
            </a:ext>
          </a:extLst>
        </xdr:cNvPr>
        <xdr:cNvSpPr txBox="1"/>
      </xdr:nvSpPr>
      <xdr:spPr>
        <a:xfrm>
          <a:off x="851836" y="3106153"/>
          <a:ext cx="862263" cy="188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solidFill>
                <a:schemeClr val="bg1"/>
              </a:solidFill>
            </a:rPr>
            <a:t>Duration</a:t>
          </a:r>
        </a:p>
      </xdr:txBody>
    </xdr:sp>
    <xdr:clientData/>
  </xdr:twoCellAnchor>
  <xdr:twoCellAnchor>
    <xdr:from>
      <xdr:col>2</xdr:col>
      <xdr:colOff>396240</xdr:colOff>
      <xdr:row>20</xdr:row>
      <xdr:rowOff>121920</xdr:rowOff>
    </xdr:from>
    <xdr:to>
      <xdr:col>3</xdr:col>
      <xdr:colOff>289560</xdr:colOff>
      <xdr:row>21</xdr:row>
      <xdr:rowOff>137160</xdr:rowOff>
    </xdr:to>
    <xdr:sp macro="" textlink="Pivots!C9">
      <xdr:nvSpPr>
        <xdr:cNvPr id="25" name="TextBox 24">
          <a:extLst>
            <a:ext uri="{FF2B5EF4-FFF2-40B4-BE49-F238E27FC236}">
              <a16:creationId xmlns:a16="http://schemas.microsoft.com/office/drawing/2014/main" id="{93F3BC51-7E5E-491E-A733-9289CF9C8A4B}"/>
            </a:ext>
          </a:extLst>
        </xdr:cNvPr>
        <xdr:cNvSpPr txBox="1"/>
      </xdr:nvSpPr>
      <xdr:spPr>
        <a:xfrm>
          <a:off x="967740" y="3779520"/>
          <a:ext cx="563880" cy="1981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AF7764-3758-4726-98F8-8EB12C12BB18}" type="TxLink">
            <a:rPr lang="en-US" sz="1100" b="0" i="0" u="none" strike="noStrike">
              <a:solidFill>
                <a:schemeClr val="bg1"/>
              </a:solidFill>
              <a:latin typeface="Aptos"/>
              <a:ea typeface="+mn-ea"/>
              <a:cs typeface="+mn-cs"/>
            </a:rPr>
            <a:pPr marL="0" indent="0" algn="ctr"/>
            <a:t>17,807</a:t>
          </a:fld>
          <a:endParaRPr lang="en-IN" sz="1100" b="0" i="0" u="none" strike="noStrike">
            <a:solidFill>
              <a:schemeClr val="bg1"/>
            </a:solidFill>
            <a:latin typeface="Aptos"/>
            <a:ea typeface="+mn-ea"/>
            <a:cs typeface="+mn-cs"/>
          </a:endParaRPr>
        </a:p>
      </xdr:txBody>
    </xdr:sp>
    <xdr:clientData/>
  </xdr:twoCellAnchor>
  <xdr:twoCellAnchor editAs="oneCell">
    <xdr:from>
      <xdr:col>2</xdr:col>
      <xdr:colOff>50734</xdr:colOff>
      <xdr:row>17</xdr:row>
      <xdr:rowOff>7621</xdr:rowOff>
    </xdr:from>
    <xdr:to>
      <xdr:col>2</xdr:col>
      <xdr:colOff>307406</xdr:colOff>
      <xdr:row>18</xdr:row>
      <xdr:rowOff>83820</xdr:rowOff>
    </xdr:to>
    <xdr:pic>
      <xdr:nvPicPr>
        <xdr:cNvPr id="26" name="Graphic 25">
          <a:extLst>
            <a:ext uri="{FF2B5EF4-FFF2-40B4-BE49-F238E27FC236}">
              <a16:creationId xmlns:a16="http://schemas.microsoft.com/office/drawing/2014/main" id="{963103CB-08CD-40C6-B3F8-ABAFED4F26F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622234" y="3075674"/>
          <a:ext cx="256672" cy="256672"/>
        </a:xfrm>
        <a:prstGeom prst="rect">
          <a:avLst/>
        </a:prstGeom>
      </xdr:spPr>
    </xdr:pic>
    <xdr:clientData/>
  </xdr:twoCellAnchor>
  <xdr:twoCellAnchor>
    <xdr:from>
      <xdr:col>2</xdr:col>
      <xdr:colOff>0</xdr:colOff>
      <xdr:row>24</xdr:row>
      <xdr:rowOff>0</xdr:rowOff>
    </xdr:from>
    <xdr:to>
      <xdr:col>4</xdr:col>
      <xdr:colOff>0</xdr:colOff>
      <xdr:row>29</xdr:row>
      <xdr:rowOff>0</xdr:rowOff>
    </xdr:to>
    <xdr:sp macro="" textlink="Pivots!D4">
      <xdr:nvSpPr>
        <xdr:cNvPr id="27" name="Rectangle 26">
          <a:extLst>
            <a:ext uri="{FF2B5EF4-FFF2-40B4-BE49-F238E27FC236}">
              <a16:creationId xmlns:a16="http://schemas.microsoft.com/office/drawing/2014/main" id="{E6596F28-AE6B-4BB1-B29E-8AFE9C2FBD4E}"/>
            </a:ext>
          </a:extLst>
        </xdr:cNvPr>
        <xdr:cNvSpPr/>
      </xdr:nvSpPr>
      <xdr:spPr>
        <a:xfrm>
          <a:off x="571500" y="4389120"/>
          <a:ext cx="1341120" cy="914400"/>
        </a:xfrm>
        <a:prstGeom prst="rect">
          <a:avLst/>
        </a:prstGeom>
        <a:solidFill>
          <a:schemeClr val="accent6"/>
        </a:solidFill>
        <a:ln>
          <a:solidFill>
            <a:schemeClr val="accent1">
              <a:shade val="15000"/>
              <a:alpha val="96000"/>
            </a:schemeClr>
          </a:solidFill>
        </a:ln>
        <a:effectLst>
          <a:outerShdw blurRad="50800" dist="38100" dir="5400000" algn="t" rotWithShape="0">
            <a:prstClr val="black">
              <a:alpha val="4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0023C01-1566-4212-A60D-311F9B217894}" type="TxLink">
            <a:rPr lang="en-US" sz="2400" b="1" i="0" u="none" strike="noStrike">
              <a:solidFill>
                <a:schemeClr val="bg1"/>
              </a:solidFill>
              <a:latin typeface="Aptos"/>
              <a:ea typeface="+mn-ea"/>
              <a:cs typeface="+mn-cs"/>
            </a:rPr>
            <a:pPr marL="0" indent="0" algn="ctr"/>
            <a:t>3.9</a:t>
          </a:fld>
          <a:endParaRPr lang="en-IN" sz="2400" b="1" i="0" u="none" strike="noStrike">
            <a:solidFill>
              <a:schemeClr val="bg1"/>
            </a:solidFill>
            <a:latin typeface="Aptos"/>
            <a:ea typeface="+mn-ea"/>
            <a:cs typeface="+mn-cs"/>
          </a:endParaRPr>
        </a:p>
      </xdr:txBody>
    </xdr:sp>
    <xdr:clientData/>
  </xdr:twoCellAnchor>
  <xdr:twoCellAnchor>
    <xdr:from>
      <xdr:col>2</xdr:col>
      <xdr:colOff>280336</xdr:colOff>
      <xdr:row>24</xdr:row>
      <xdr:rowOff>48127</xdr:rowOff>
    </xdr:from>
    <xdr:to>
      <xdr:col>3</xdr:col>
      <xdr:colOff>470836</xdr:colOff>
      <xdr:row>25</xdr:row>
      <xdr:rowOff>55747</xdr:rowOff>
    </xdr:to>
    <xdr:sp macro="" textlink="">
      <xdr:nvSpPr>
        <xdr:cNvPr id="28" name="TextBox 27">
          <a:extLst>
            <a:ext uri="{FF2B5EF4-FFF2-40B4-BE49-F238E27FC236}">
              <a16:creationId xmlns:a16="http://schemas.microsoft.com/office/drawing/2014/main" id="{B891E7E6-EE36-449E-8582-83B992C5C4BF}"/>
            </a:ext>
          </a:extLst>
        </xdr:cNvPr>
        <xdr:cNvSpPr txBox="1"/>
      </xdr:nvSpPr>
      <xdr:spPr>
        <a:xfrm>
          <a:off x="851836" y="4379495"/>
          <a:ext cx="862263" cy="188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solidFill>
                <a:schemeClr val="bg1"/>
              </a:solidFill>
            </a:rPr>
            <a:t>Avg Rating</a:t>
          </a:r>
        </a:p>
      </xdr:txBody>
    </xdr:sp>
    <xdr:clientData/>
  </xdr:twoCellAnchor>
  <xdr:twoCellAnchor>
    <xdr:from>
      <xdr:col>2</xdr:col>
      <xdr:colOff>396240</xdr:colOff>
      <xdr:row>27</xdr:row>
      <xdr:rowOff>121920</xdr:rowOff>
    </xdr:from>
    <xdr:to>
      <xdr:col>3</xdr:col>
      <xdr:colOff>289560</xdr:colOff>
      <xdr:row>28</xdr:row>
      <xdr:rowOff>137160</xdr:rowOff>
    </xdr:to>
    <xdr:sp macro="" textlink="Pivots!D9">
      <xdr:nvSpPr>
        <xdr:cNvPr id="29" name="TextBox 28">
          <a:extLst>
            <a:ext uri="{FF2B5EF4-FFF2-40B4-BE49-F238E27FC236}">
              <a16:creationId xmlns:a16="http://schemas.microsoft.com/office/drawing/2014/main" id="{1C1C3DC3-3C2C-4D2D-8FBA-1C8549917A7F}"/>
            </a:ext>
          </a:extLst>
        </xdr:cNvPr>
        <xdr:cNvSpPr txBox="1"/>
      </xdr:nvSpPr>
      <xdr:spPr>
        <a:xfrm>
          <a:off x="967740" y="5059680"/>
          <a:ext cx="563880" cy="19812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5B3D2C5-9E1D-46C6-AF54-4CA15C85478D}" type="TxLink">
            <a:rPr lang="en-US" sz="1100" b="0" i="0" u="none" strike="noStrike">
              <a:solidFill>
                <a:schemeClr val="bg1"/>
              </a:solidFill>
              <a:latin typeface="Aptos"/>
              <a:ea typeface="+mn-ea"/>
              <a:cs typeface="+mn-cs"/>
            </a:rPr>
            <a:pPr marL="0" indent="0" algn="ctr"/>
            <a:t>3.9</a:t>
          </a:fld>
          <a:endParaRPr lang="en-IN" sz="1100" b="0" i="0" u="none" strike="noStrike">
            <a:solidFill>
              <a:schemeClr val="bg1"/>
            </a:solidFill>
            <a:latin typeface="Aptos"/>
            <a:ea typeface="+mn-ea"/>
            <a:cs typeface="+mn-cs"/>
          </a:endParaRPr>
        </a:p>
      </xdr:txBody>
    </xdr:sp>
    <xdr:clientData/>
  </xdr:twoCellAnchor>
  <xdr:twoCellAnchor editAs="oneCell">
    <xdr:from>
      <xdr:col>2</xdr:col>
      <xdr:colOff>50733</xdr:colOff>
      <xdr:row>24</xdr:row>
      <xdr:rowOff>7621</xdr:rowOff>
    </xdr:from>
    <xdr:to>
      <xdr:col>2</xdr:col>
      <xdr:colOff>307406</xdr:colOff>
      <xdr:row>25</xdr:row>
      <xdr:rowOff>65458</xdr:rowOff>
    </xdr:to>
    <xdr:pic>
      <xdr:nvPicPr>
        <xdr:cNvPr id="30" name="Graphic 29">
          <a:extLst>
            <a:ext uri="{FF2B5EF4-FFF2-40B4-BE49-F238E27FC236}">
              <a16:creationId xmlns:a16="http://schemas.microsoft.com/office/drawing/2014/main" id="{35E5594C-46B3-44FC-A472-824056D5CF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622233" y="4338989"/>
          <a:ext cx="256673" cy="256673"/>
        </a:xfrm>
        <a:prstGeom prst="rect">
          <a:avLst/>
        </a:prstGeom>
      </xdr:spPr>
    </xdr:pic>
    <xdr:clientData/>
  </xdr:twoCellAnchor>
  <xdr:twoCellAnchor>
    <xdr:from>
      <xdr:col>2</xdr:col>
      <xdr:colOff>0</xdr:colOff>
      <xdr:row>31</xdr:row>
      <xdr:rowOff>0</xdr:rowOff>
    </xdr:from>
    <xdr:to>
      <xdr:col>4</xdr:col>
      <xdr:colOff>0</xdr:colOff>
      <xdr:row>36</xdr:row>
      <xdr:rowOff>-1</xdr:rowOff>
    </xdr:to>
    <xdr:sp macro="" textlink="Pivots!E4">
      <xdr:nvSpPr>
        <xdr:cNvPr id="31" name="Rectangle 30">
          <a:extLst>
            <a:ext uri="{FF2B5EF4-FFF2-40B4-BE49-F238E27FC236}">
              <a16:creationId xmlns:a16="http://schemas.microsoft.com/office/drawing/2014/main" id="{29EF6F57-3359-4EFC-90F3-518DDC8682C9}"/>
            </a:ext>
          </a:extLst>
        </xdr:cNvPr>
        <xdr:cNvSpPr/>
      </xdr:nvSpPr>
      <xdr:spPr>
        <a:xfrm>
          <a:off x="571500" y="5594684"/>
          <a:ext cx="1343526" cy="902368"/>
        </a:xfrm>
        <a:prstGeom prst="rect">
          <a:avLst/>
        </a:prstGeom>
        <a:solidFill>
          <a:schemeClr val="accent6"/>
        </a:solidFill>
        <a:ln>
          <a:solidFill>
            <a:schemeClr val="accent1">
              <a:shade val="15000"/>
              <a:alpha val="96000"/>
            </a:schemeClr>
          </a:solidFill>
        </a:ln>
        <a:effectLst>
          <a:outerShdw blurRad="50800" dist="38100" dir="5400000" algn="t" rotWithShape="0">
            <a:prstClr val="black">
              <a:alpha val="4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97E87A9-1063-4A95-82EF-31065A49A81A}" type="TxLink">
            <a:rPr lang="en-US" sz="2400" b="1" i="0" u="none" strike="noStrike">
              <a:solidFill>
                <a:schemeClr val="bg1"/>
              </a:solidFill>
              <a:latin typeface="Aptos"/>
              <a:ea typeface="+mn-ea"/>
              <a:cs typeface="+mn-cs"/>
            </a:rPr>
            <a:pPr marL="0" indent="0" algn="ctr"/>
            <a:t>307</a:t>
          </a:fld>
          <a:endParaRPr lang="en-IN" sz="2400" b="1" i="0" u="none" strike="noStrike">
            <a:solidFill>
              <a:schemeClr val="bg1"/>
            </a:solidFill>
            <a:latin typeface="Aptos"/>
            <a:ea typeface="+mn-ea"/>
            <a:cs typeface="+mn-cs"/>
          </a:endParaRPr>
        </a:p>
      </xdr:txBody>
    </xdr:sp>
    <xdr:clientData/>
  </xdr:twoCellAnchor>
  <xdr:twoCellAnchor>
    <xdr:from>
      <xdr:col>2</xdr:col>
      <xdr:colOff>270310</xdr:colOff>
      <xdr:row>31</xdr:row>
      <xdr:rowOff>48127</xdr:rowOff>
    </xdr:from>
    <xdr:to>
      <xdr:col>4</xdr:col>
      <xdr:colOff>60159</xdr:colOff>
      <xdr:row>32</xdr:row>
      <xdr:rowOff>40106</xdr:rowOff>
    </xdr:to>
    <xdr:sp macro="" textlink="">
      <xdr:nvSpPr>
        <xdr:cNvPr id="32" name="TextBox 31">
          <a:extLst>
            <a:ext uri="{FF2B5EF4-FFF2-40B4-BE49-F238E27FC236}">
              <a16:creationId xmlns:a16="http://schemas.microsoft.com/office/drawing/2014/main" id="{12A1558D-F9C3-4837-BF21-ED5DE3F878AA}"/>
            </a:ext>
          </a:extLst>
        </xdr:cNvPr>
        <xdr:cNvSpPr txBox="1"/>
      </xdr:nvSpPr>
      <xdr:spPr>
        <a:xfrm>
          <a:off x="841810" y="5642811"/>
          <a:ext cx="1133375" cy="172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1">
              <a:solidFill>
                <a:schemeClr val="bg1"/>
              </a:solidFill>
            </a:rPr>
            <a:t>Happy</a:t>
          </a:r>
          <a:r>
            <a:rPr lang="en-IN" sz="1100" b="1" i="1" baseline="0">
              <a:solidFill>
                <a:schemeClr val="bg1"/>
              </a:solidFill>
            </a:rPr>
            <a:t> Callers</a:t>
          </a:r>
          <a:endParaRPr lang="en-IN" sz="1100" b="1" i="1">
            <a:solidFill>
              <a:schemeClr val="bg1"/>
            </a:solidFill>
          </a:endParaRPr>
        </a:p>
      </xdr:txBody>
    </xdr:sp>
    <xdr:clientData/>
  </xdr:twoCellAnchor>
  <xdr:twoCellAnchor>
    <xdr:from>
      <xdr:col>2</xdr:col>
      <xdr:colOff>396240</xdr:colOff>
      <xdr:row>34</xdr:row>
      <xdr:rowOff>121920</xdr:rowOff>
    </xdr:from>
    <xdr:to>
      <xdr:col>3</xdr:col>
      <xdr:colOff>289560</xdr:colOff>
      <xdr:row>35</xdr:row>
      <xdr:rowOff>137160</xdr:rowOff>
    </xdr:to>
    <xdr:sp macro="" textlink="Pivots!E9">
      <xdr:nvSpPr>
        <xdr:cNvPr id="33" name="TextBox 32">
          <a:extLst>
            <a:ext uri="{FF2B5EF4-FFF2-40B4-BE49-F238E27FC236}">
              <a16:creationId xmlns:a16="http://schemas.microsoft.com/office/drawing/2014/main" id="{A2AF352A-12E1-4428-A31C-593888DF9572}"/>
            </a:ext>
          </a:extLst>
        </xdr:cNvPr>
        <xdr:cNvSpPr txBox="1"/>
      </xdr:nvSpPr>
      <xdr:spPr>
        <a:xfrm>
          <a:off x="967740" y="6258025"/>
          <a:ext cx="565083" cy="1957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45AD2C-12A9-48D7-9A5A-AAD98002753A}" type="TxLink">
            <a:rPr lang="en-US" sz="1100" b="0" i="0" u="none" strike="noStrike">
              <a:solidFill>
                <a:schemeClr val="bg1"/>
              </a:solidFill>
              <a:latin typeface="Aptos"/>
              <a:ea typeface="+mn-ea"/>
              <a:cs typeface="+mn-cs"/>
            </a:rPr>
            <a:pPr marL="0" indent="0" algn="ctr"/>
            <a:t>62</a:t>
          </a:fld>
          <a:endParaRPr lang="en-IN" sz="1100" b="0" i="0" u="none" strike="noStrike">
            <a:solidFill>
              <a:schemeClr val="bg1"/>
            </a:solidFill>
            <a:latin typeface="Aptos"/>
            <a:ea typeface="+mn-ea"/>
            <a:cs typeface="+mn-cs"/>
          </a:endParaRPr>
        </a:p>
      </xdr:txBody>
    </xdr:sp>
    <xdr:clientData/>
  </xdr:twoCellAnchor>
  <xdr:twoCellAnchor editAs="oneCell">
    <xdr:from>
      <xdr:col>2</xdr:col>
      <xdr:colOff>50733</xdr:colOff>
      <xdr:row>31</xdr:row>
      <xdr:rowOff>7621</xdr:rowOff>
    </xdr:from>
    <xdr:to>
      <xdr:col>2</xdr:col>
      <xdr:colOff>307406</xdr:colOff>
      <xdr:row>32</xdr:row>
      <xdr:rowOff>65459</xdr:rowOff>
    </xdr:to>
    <xdr:pic>
      <xdr:nvPicPr>
        <xdr:cNvPr id="34" name="Graphic 33">
          <a:extLst>
            <a:ext uri="{FF2B5EF4-FFF2-40B4-BE49-F238E27FC236}">
              <a16:creationId xmlns:a16="http://schemas.microsoft.com/office/drawing/2014/main" id="{4C2BB494-534C-4661-BC80-386A746ECFC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622233" y="5602305"/>
          <a:ext cx="256673" cy="256673"/>
        </a:xfrm>
        <a:prstGeom prst="rect">
          <a:avLst/>
        </a:prstGeom>
      </xdr:spPr>
    </xdr:pic>
    <xdr:clientData/>
  </xdr:twoCellAnchor>
  <xdr:twoCellAnchor editAs="oneCell">
    <xdr:from>
      <xdr:col>12</xdr:col>
      <xdr:colOff>394771</xdr:colOff>
      <xdr:row>17</xdr:row>
      <xdr:rowOff>157448</xdr:rowOff>
    </xdr:from>
    <xdr:to>
      <xdr:col>15</xdr:col>
      <xdr:colOff>55083</xdr:colOff>
      <xdr:row>27</xdr:row>
      <xdr:rowOff>183613</xdr:rowOff>
    </xdr:to>
    <mc:AlternateContent xmlns:mc="http://schemas.openxmlformats.org/markup-compatibility/2006" xmlns:a14="http://schemas.microsoft.com/office/drawing/2010/main">
      <mc:Choice Requires="a14">
        <xdr:graphicFrame macro="">
          <xdr:nvGraphicFramePr>
            <xdr:cNvPr id="35" name="Representative">
              <a:extLst>
                <a:ext uri="{FF2B5EF4-FFF2-40B4-BE49-F238E27FC236}">
                  <a16:creationId xmlns:a16="http://schemas.microsoft.com/office/drawing/2014/main" id="{A1DFB25C-E0AD-4B3A-85EB-8665ACB5F2E8}"/>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675084" y="3278894"/>
              <a:ext cx="1670891" cy="1954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159401</xdr:colOff>
      <xdr:row>4</xdr:row>
      <xdr:rowOff>47281</xdr:rowOff>
    </xdr:from>
    <xdr:to>
      <xdr:col>14</xdr:col>
      <xdr:colOff>367229</xdr:colOff>
      <xdr:row>15</xdr:row>
      <xdr:rowOff>9181</xdr:rowOff>
    </xdr:to>
    <xdr:graphicFrame macro="">
      <xdr:nvGraphicFramePr>
        <xdr:cNvPr id="38" name="Chart 37">
          <a:extLst>
            <a:ext uri="{FF2B5EF4-FFF2-40B4-BE49-F238E27FC236}">
              <a16:creationId xmlns:a16="http://schemas.microsoft.com/office/drawing/2014/main" id="{0DE18313-E403-4E1C-9AEC-29944B722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352425</xdr:colOff>
      <xdr:row>0</xdr:row>
      <xdr:rowOff>119349</xdr:rowOff>
    </xdr:from>
    <xdr:to>
      <xdr:col>11</xdr:col>
      <xdr:colOff>587567</xdr:colOff>
      <xdr:row>20</xdr:row>
      <xdr:rowOff>82627</xdr:rowOff>
    </xdr:to>
    <xdr:graphicFrame macro="">
      <xdr:nvGraphicFramePr>
        <xdr:cNvPr id="37" name="Chart 36">
          <a:extLst>
            <a:ext uri="{FF2B5EF4-FFF2-40B4-BE49-F238E27FC236}">
              <a16:creationId xmlns:a16="http://schemas.microsoft.com/office/drawing/2014/main" id="{FCB92A7B-CE96-430B-BFA9-C2527558E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312145</xdr:colOff>
      <xdr:row>22</xdr:row>
      <xdr:rowOff>36722</xdr:rowOff>
    </xdr:from>
    <xdr:to>
      <xdr:col>8</xdr:col>
      <xdr:colOff>211157</xdr:colOff>
      <xdr:row>42</xdr:row>
      <xdr:rowOff>100988</xdr:rowOff>
    </xdr:to>
    <xdr:graphicFrame macro="">
      <xdr:nvGraphicFramePr>
        <xdr:cNvPr id="39" name="Chart 38">
          <a:extLst>
            <a:ext uri="{FF2B5EF4-FFF2-40B4-BE49-F238E27FC236}">
              <a16:creationId xmlns:a16="http://schemas.microsoft.com/office/drawing/2014/main" id="{0C7B0484-2A15-42D3-85E4-DADB6AF80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641901</xdr:colOff>
      <xdr:row>22</xdr:row>
      <xdr:rowOff>45902</xdr:rowOff>
    </xdr:from>
    <xdr:to>
      <xdr:col>11</xdr:col>
      <xdr:colOff>486580</xdr:colOff>
      <xdr:row>42</xdr:row>
      <xdr:rowOff>100987</xdr:rowOff>
    </xdr:to>
    <xdr:graphicFrame macro="">
      <xdr:nvGraphicFramePr>
        <xdr:cNvPr id="40" name="Chart 39">
          <a:extLst>
            <a:ext uri="{FF2B5EF4-FFF2-40B4-BE49-F238E27FC236}">
              <a16:creationId xmlns:a16="http://schemas.microsoft.com/office/drawing/2014/main" id="{7D27A67D-6305-4A73-B14D-EB432E3F3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284601</xdr:colOff>
      <xdr:row>0</xdr:row>
      <xdr:rowOff>119349</xdr:rowOff>
    </xdr:from>
    <xdr:to>
      <xdr:col>19</xdr:col>
      <xdr:colOff>413131</xdr:colOff>
      <xdr:row>19</xdr:row>
      <xdr:rowOff>174433</xdr:rowOff>
    </xdr:to>
    <xdr:graphicFrame macro="">
      <xdr:nvGraphicFramePr>
        <xdr:cNvPr id="42" name="Chart 41">
          <a:extLst>
            <a:ext uri="{FF2B5EF4-FFF2-40B4-BE49-F238E27FC236}">
              <a16:creationId xmlns:a16="http://schemas.microsoft.com/office/drawing/2014/main" id="{8A2BB1E7-9445-4BB9-AE4B-35A1C4809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541662</xdr:colOff>
      <xdr:row>0</xdr:row>
      <xdr:rowOff>128530</xdr:rowOff>
    </xdr:from>
    <xdr:to>
      <xdr:col>25</xdr:col>
      <xdr:colOff>339687</xdr:colOff>
      <xdr:row>19</xdr:row>
      <xdr:rowOff>137710</xdr:rowOff>
    </xdr:to>
    <xdr:graphicFrame macro="">
      <xdr:nvGraphicFramePr>
        <xdr:cNvPr id="44" name="Chart 43">
          <a:extLst>
            <a:ext uri="{FF2B5EF4-FFF2-40B4-BE49-F238E27FC236}">
              <a16:creationId xmlns:a16="http://schemas.microsoft.com/office/drawing/2014/main" id="{EAFCED24-D71E-4E29-BA88-F5CA438EC0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refreshedDate="45908.217373726853" backgroundQuery="1" createdVersion="8" refreshedVersion="8" minRefreshableVersion="3" recordCount="0" supportSubquery="1" supportAdvancedDrill="1" xr:uid="{F2233A84-7AB4-4EAD-8E7B-F5388BEC3A73}">
  <cacheSource type="external" connectionId="2"/>
  <cacheFields count="3">
    <cacheField name="[customers].[City].[City]" caption="City" numFmtId="0" hierarchy="15" level="1">
      <sharedItems count="3">
        <s v="Cincinnati"/>
        <s v="Cleveland"/>
        <s v="Columbus"/>
      </sharedItems>
    </cacheField>
    <cacheField name="[Measures].[Call Count]" caption="Call Count" numFmtId="0" hierarchy="18" level="32767"/>
    <cacheField name="[customers].[Gedner].[Gedner]" caption="Gedner" numFmtId="0" hierarchy="13" level="1">
      <sharedItems count="2">
        <s v="Female"/>
        <s v="Male"/>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2"/>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refreshedDate="45908.217374884262" backgroundQuery="1" createdVersion="8" refreshedVersion="8" minRefreshableVersion="3" recordCount="0" supportSubquery="1" supportAdvancedDrill="1" xr:uid="{85C366AE-F7C6-445A-90A4-BA6EFDF4591D}">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refreshedDate="45908.217375925924" backgroundQuery="1" createdVersion="8" refreshedVersion="8" minRefreshableVersion="3" recordCount="0" supportSubquery="1" supportAdvancedDrill="1" xr:uid="{6E383E3A-9AF9-4AA7-8722-C52BFE5E6193}">
  <cacheSource type="external" connectionId="2"/>
  <cacheFields count="5">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refreshedDate="45908.226718287035" backgroundQuery="1" createdVersion="8" refreshedVersion="8" minRefreshableVersion="3" recordCount="0" supportSubquery="1" supportAdvancedDrill="1" xr:uid="{E0F6F0DA-12DE-400E-8FE1-7E2272E7DFE4}">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refreshedDate="46049.902353703706" backgroundQuery="1" createdVersion="8" refreshedVersion="8" minRefreshableVersion="3" recordCount="0" supportSubquery="1" supportAdvancedDrill="1" xr:uid="{395D614C-F115-4529-AE47-763E599A44C1}">
  <cacheSource type="external" connectionId="2"/>
  <cacheFields count="6">
    <cacheField name="[Measures].[Call Count]" caption="Call Count" numFmtId="0" hierarchy="18" level="32767"/>
    <cacheField name="[Measures].[Total Amount]" caption="Total Amount" numFmtId="0" hierarchy="19" level="32767"/>
    <cacheField name="[Measures].[Total Duration]" caption="Total Duration" numFmtId="0" hierarchy="20" level="32767"/>
    <cacheField name="[Measures].[Avg Rating]" caption="Avg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refreshedDate="46049.902355324077" backgroundQuery="1" createdVersion="8" refreshedVersion="8" minRefreshableVersion="3" recordCount="0" supportSubquery="1" supportAdvancedDrill="1" xr:uid="{256EB8BE-9CBB-4D92-9190-CBD4C768A508}">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2-01T00:00:00" count="16">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refreshedDate="46049.902356944447" backgroundQuery="1" createdVersion="8" refreshedVersion="8" minRefreshableVersion="3" recordCount="0" supportSubquery="1" supportAdvancedDrill="1" xr:uid="{72CE3280-AAB4-45DD-BEF2-6CE2BB6B63D5}">
  <cacheSource type="external" connectionId="2"/>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refreshedDate="46049.902358564817" backgroundQuery="1" createdVersion="8" refreshedVersion="8" minRefreshableVersion="3" recordCount="0" supportSubquery="1" supportAdvancedDrill="1" xr:uid="{481095C3-0BBF-4373-B20A-0539F67B6367}">
  <cacheSource type="external" connectionId="2"/>
  <cacheFields count="1">
    <cacheField name="[calls].[Representative].[Representative]" caption="Representative" numFmtId="0" hierarchy="3" level="1">
      <sharedItems count="1">
        <s v="R04"/>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refreshedDate="46049.902360069442" backgroundQuery="1" createdVersion="8" refreshedVersion="8" minRefreshableVersion="3" recordCount="0" supportSubquery="1" supportAdvancedDrill="1" xr:uid="{7CDE8929-411C-49DA-AFA2-859888810CAC}">
  <cacheSource type="external" connectionId="2"/>
  <cacheFields count="3">
    <cacheField name="[Measures].[Call Count]" caption="Call Count" numFmtId="0" hierarchy="18"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jay" refreshedDate="45908.21736469907" backgroundQuery="1" createdVersion="3" refreshedVersion="8" minRefreshableVersion="3" recordCount="0" supportSubquery="1" supportAdvancedDrill="1" xr:uid="{4082AE85-F67E-493A-8412-64A9FD8436A8}">
  <cacheSource type="external" connectionId="2">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206963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2128B-EA24-463D-827F-9EEDB68F789D}" name="PivotTable7"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7">
  <location ref="I24:J32"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1">
    <chartFormat chart="45"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324CAC-0672-4AD7-98ED-79961F658F48}" name="selected rep" cacheId="2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54:A55"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8">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8E72B1B-A0A0-4693-B802-45B42C62E82A}" name="summary 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44A1DF-974F-433D-A920-3B926CA65368}" name="rep Satisfaction"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71:B7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BCA4C4-22E9-4D39-9255-93D73CC5498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5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70EF5D-D5FB-4801-A186-3C38B802ADB1}"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3:D68"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4">
    <i>
      <x/>
    </i>
    <i>
      <x v="1"/>
    </i>
    <i>
      <x v="2"/>
    </i>
    <i t="grand">
      <x/>
    </i>
  </rowItems>
  <colFields count="1">
    <field x="2"/>
  </colFields>
  <colItems count="3">
    <i>
      <x/>
    </i>
    <i>
      <x v="1"/>
    </i>
    <i t="grand">
      <x/>
    </i>
  </colItems>
  <dataFields count="1">
    <dataField fld="1" subtotal="count" baseField="0" baseItem="0"/>
  </dataFields>
  <chartFormats count="2">
    <chartFormat chart="5" format="4" series="1">
      <pivotArea type="data" outline="0" fieldPosition="0">
        <references count="2">
          <reference field="4294967294" count="1" selected="0">
            <x v="0"/>
          </reference>
          <reference field="2" count="1" selected="0">
            <x v="0"/>
          </reference>
        </references>
      </pivotArea>
    </chartFormat>
    <chartFormat chart="5" format="5" series="1">
      <pivotArea type="data" outline="0" fieldPosition="0">
        <references count="2">
          <reference field="4294967294" count="1" selected="0">
            <x v="0"/>
          </reference>
          <reference field="2"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AE1BEA-1655-4578-84E6-0E7A81F21271}" name="rep amounts"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9">
  <location ref="D80:J99" firstHeaderRow="1" firstDataRow="2" firstDataCol="1"/>
  <pivotFields count="4">
    <pivotField axis="axisCol" allDrilled="1" subtotalTop="0" showAll="0"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formats count="7">
    <format dxfId="25">
      <pivotArea outline="0" collapsedLevelsAreSubtotals="1" fieldPosition="0"/>
    </format>
    <format dxfId="24">
      <pivotArea collapsedLevelsAreSubtotals="1" fieldPosition="0">
        <references count="2">
          <reference field="1" count="1" selected="0">
            <x v="0"/>
          </reference>
          <reference field="2" count="4">
            <x v="0"/>
            <x v="1"/>
            <x v="2"/>
            <x v="3"/>
          </reference>
        </references>
      </pivotArea>
    </format>
    <format dxfId="23">
      <pivotArea collapsedLevelsAreSubtotals="1" fieldPosition="0">
        <references count="1">
          <reference field="1" count="1">
            <x v="1"/>
          </reference>
        </references>
      </pivotArea>
    </format>
    <format dxfId="22">
      <pivotArea collapsedLevelsAreSubtotals="1" fieldPosition="0">
        <references count="2">
          <reference field="1" count="1" selected="0">
            <x v="1"/>
          </reference>
          <reference field="2" count="6">
            <x v="4"/>
            <x v="5"/>
            <x v="6"/>
            <x v="7"/>
            <x v="8"/>
            <x v="9"/>
          </reference>
        </references>
      </pivotArea>
    </format>
    <format dxfId="21">
      <pivotArea collapsedLevelsAreSubtotals="1" fieldPosition="0">
        <references count="1">
          <reference field="1" count="1">
            <x v="2"/>
          </reference>
        </references>
      </pivotArea>
    </format>
    <format dxfId="20">
      <pivotArea collapsedLevelsAreSubtotals="1" fieldPosition="0">
        <references count="2">
          <reference field="1" count="1" selected="0">
            <x v="2"/>
          </reference>
          <reference field="2" count="5">
            <x v="10"/>
            <x v="11"/>
            <x v="12"/>
            <x v="13"/>
            <x v="14"/>
          </reference>
        </references>
      </pivotArea>
    </format>
    <format dxfId="19">
      <pivotArea grandRow="1" outline="0" collapsedLevelsAreSubtotals="1" fieldPosition="0"/>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08ED3D-EC98-48B4-BBCC-6C2FA18643F3}" name="PivotTable6"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29" format="4" series="1">
      <pivotArea type="data" outline="0" fieldPosition="0">
        <references count="1">
          <reference field="4294967294" count="1" selected="0">
            <x v="1"/>
          </reference>
        </references>
      </pivotArea>
    </chartFormat>
    <chartFormat chart="29"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73BCE63-DDA4-4385-8745-423E6711BB11}" name="rep Pivot"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2B48C3C-B9F5-431B-8A7E-17DE31625978}"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6">
  <rv s="0">
    <v>0</v>
    <v>4</v>
    <v>Young businessman writing on notebook</v>
  </rv>
  <rv s="0">
    <v>1</v>
    <v>5</v>
    <v>A person in a skirt and a cardigan
Description automatically generated</v>
  </rv>
  <rv s="0">
    <v>2</v>
    <v>5</v>
    <v>A person in a suit and tie
Description automatically generated</v>
  </rv>
  <rv s="0">
    <v>3</v>
    <v>5</v>
    <v>Business woman raising hand</v>
  </rv>
  <rv s="0">
    <v>0</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DB418D7-2E25-43AC-823A-DC0AAFF0F806}" sourceName="[calls].[Representative]">
  <pivotTables>
    <pivotTable tabId="6" name="rep Pivot"/>
    <pivotTable tabId="6" name="PivotTable6"/>
    <pivotTable tabId="6" name="PivotTable7"/>
    <pivotTable tabId="6" name="selected rep"/>
    <pivotTable tabId="6" name="rep Satisfaction"/>
  </pivotTables>
  <data>
    <olap pivotCacheId="212069637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F478652C-2B1D-41D8-AA44-1AFBA6118734}" cache="Slicer_Representative" caption="Representativ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DBDAD06-525C-4EA0-A19A-7A13C9AC64C2}" name="Table_ExternalData_1" displayName="Table_ExternalData_1" ref="A3:M66" tableType="queryTable" totalsRowShown="0">
  <autoFilter ref="A3:M66" xr:uid="{FDBDAD06-525C-4EA0-A19A-7A13C9AC64C2}"/>
  <tableColumns count="13">
    <tableColumn id="1" xr3:uid="{DDD27B28-58B0-44D3-86CE-93E546211DDB}" uniqueName="1" name="calls[Call number]" queryTableFieldId="1"/>
    <tableColumn id="2" xr3:uid="{2D83D0B1-F4E6-45EA-B0C9-60B2E32BC90B}" uniqueName="2" name="calls[Customer ID]" queryTableFieldId="2"/>
    <tableColumn id="3" xr3:uid="{488FB50D-E655-4208-87AB-1C99ECBF68AC}" uniqueName="3" name="calls[Duration]" queryTableFieldId="3"/>
    <tableColumn id="4" xr3:uid="{6EAED37F-C375-4A83-BBF3-9885C6FFF50D}" uniqueName="4" name="calls[Representative]" queryTableFieldId="4"/>
    <tableColumn id="5" xr3:uid="{23C7B836-D7E6-477E-8150-E9B99A732CF4}" uniqueName="5" name="calls[Date of Call]" queryTableFieldId="5" dataDxfId="26"/>
    <tableColumn id="6" xr3:uid="{A55740BB-F765-4CC0-80BF-A3AEB6B26BEE}" uniqueName="6" name="calls[Purchase Amount]" queryTableFieldId="6"/>
    <tableColumn id="7" xr3:uid="{5B185E7C-9174-4F5D-8E49-6F6AD89121E6}" uniqueName="7" name="calls[Satisfaction Rating]" queryTableFieldId="7"/>
    <tableColumn id="8" xr3:uid="{D84BC19E-7EE5-42D1-B1C7-109071C66D1E}" uniqueName="8" name="calls[FY]" queryTableFieldId="8"/>
    <tableColumn id="9" xr3:uid="{CAEC0629-6024-49EA-AFD2-B62E8D2AA334}" uniqueName="9" name="calls[Day of week]" queryTableFieldId="9"/>
    <tableColumn id="10" xr3:uid="{6EF0689A-2D05-4019-8DE6-0C40C17C8E68}" uniqueName="10" name="calls[Duration Bucket]" queryTableFieldId="10"/>
    <tableColumn id="11" xr3:uid="{0F7D9D7F-7C82-4472-B43A-652038BC147B}" uniqueName="11" name="calls[Rating rounded]" queryTableFieldId="11"/>
    <tableColumn id="12" xr3:uid="{868F43FD-22FD-4BC7-8A39-65E885236D4D}" uniqueName="12" name="calls[Date of Call (Month)]" queryTableFieldId="12"/>
    <tableColumn id="13" xr3:uid="{1EABBADF-DE6A-4D51-8E8F-514867D35138}"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7"/>
    <tableColumn id="5" xr3:uid="{5A35565E-8707-4DED-AD15-A0669D67B382}" name="Date of Call" dataDxfId="16"/>
    <tableColumn id="6" xr3:uid="{F2E4F158-B41F-47BC-8DF8-DFCADFEE4E40}" name="Purchase Amount"/>
    <tableColumn id="7" xr3:uid="{04B291B5-47BD-4F78-8FD8-D1551CCA6BD9}" name="Satisfaction Rating"/>
    <tableColumn id="8" xr3:uid="{6E4123C0-0B17-43B8-A142-A1E540CE974C}" name="FY" dataDxfId="15">
      <calculatedColumnFormula>IF(MONTH(calls[[#This Row],[Date of Call]])&lt;=6, YEAR(calls[[#This Row],[Date of Call]]), YEAR(calls[[#This Row],[Date of Call]])+1)</calculatedColumnFormula>
    </tableColumn>
    <tableColumn id="9" xr3:uid="{199FA271-5E9B-46CE-9BC6-2801F92CD17E}" name="Day of week" dataDxfId="14">
      <calculatedColumnFormula>TEXT(calls[[#This Row],[Date of Call]],"DDDD")</calculatedColumnFormula>
    </tableColumn>
    <tableColumn id="10" xr3:uid="{328CDB09-95B8-4D5E-9ED9-EF0D363735A1}" name="Duration Bucket" dataDxfId="13">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2">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1" headerRowBorderDxfId="10" tableBorderDxfId="9" totalsRowBorderDxfId="8">
  <autoFilter ref="Q3:T18" xr:uid="{27158F51-A707-4171-8A04-81FB0AABCBA5}"/>
  <tableColumns count="4">
    <tableColumn id="1" xr3:uid="{02688061-6A8C-4E23-B7FF-D00CD8B58CAC}" name="Customer ID" dataDxfId="7"/>
    <tableColumn id="2" xr3:uid="{771678B6-DB44-426B-9874-B4E421A440D5}" name="Gedner" dataDxfId="6"/>
    <tableColumn id="3" xr3:uid="{B0D41C62-587E-494D-B49A-603F2C05F8D3}" name="Age" dataDxfId="5"/>
    <tableColumn id="4" xr3:uid="{663F92D6-FE31-4D81-9E01-8D066DDC8A88}" name="City" dataDxfId="4"/>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Aptos"/>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07A5-E252-4EB6-B5D0-D8C4B9A737D5}">
  <dimension ref="A1:M66"/>
  <sheetViews>
    <sheetView workbookViewId="0">
      <selection activeCell="F11" sqref="F11"/>
    </sheetView>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1093</v>
      </c>
    </row>
    <row r="3" spans="1:13" x14ac:dyDescent="0.3">
      <c r="A3" t="s">
        <v>1076</v>
      </c>
      <c r="B3" t="s">
        <v>1077</v>
      </c>
      <c r="C3" t="s">
        <v>1078</v>
      </c>
      <c r="D3" t="s">
        <v>1079</v>
      </c>
      <c r="E3" t="s">
        <v>1080</v>
      </c>
      <c r="F3" t="s">
        <v>1081</v>
      </c>
      <c r="G3" t="s">
        <v>1082</v>
      </c>
      <c r="H3" t="s">
        <v>1083</v>
      </c>
      <c r="I3" t="s">
        <v>1084</v>
      </c>
      <c r="J3" t="s">
        <v>1085</v>
      </c>
      <c r="K3" t="s">
        <v>1086</v>
      </c>
      <c r="L3" t="s">
        <v>1087</v>
      </c>
      <c r="M3" t="s">
        <v>1088</v>
      </c>
    </row>
    <row r="4" spans="1:13" x14ac:dyDescent="0.3">
      <c r="A4" t="s">
        <v>38</v>
      </c>
      <c r="B4" t="s">
        <v>24</v>
      </c>
      <c r="C4">
        <v>98</v>
      </c>
      <c r="D4" t="s">
        <v>9</v>
      </c>
      <c r="E4" s="30">
        <v>44930</v>
      </c>
      <c r="F4">
        <v>108</v>
      </c>
      <c r="G4">
        <v>3.5</v>
      </c>
      <c r="H4">
        <v>2023</v>
      </c>
      <c r="I4" t="s">
        <v>1068</v>
      </c>
      <c r="J4" t="s">
        <v>1089</v>
      </c>
      <c r="K4">
        <v>4</v>
      </c>
      <c r="L4" t="s">
        <v>1049</v>
      </c>
      <c r="M4">
        <v>1</v>
      </c>
    </row>
    <row r="5" spans="1:13" x14ac:dyDescent="0.3">
      <c r="A5" t="s">
        <v>52</v>
      </c>
      <c r="B5" t="s">
        <v>24</v>
      </c>
      <c r="C5">
        <v>73</v>
      </c>
      <c r="D5" t="s">
        <v>10</v>
      </c>
      <c r="E5" s="30">
        <v>44935</v>
      </c>
      <c r="F5">
        <v>80</v>
      </c>
      <c r="G5">
        <v>4.2</v>
      </c>
      <c r="H5">
        <v>2023</v>
      </c>
      <c r="I5" t="s">
        <v>1063</v>
      </c>
      <c r="J5" t="s">
        <v>1089</v>
      </c>
      <c r="K5">
        <v>4</v>
      </c>
      <c r="L5" t="s">
        <v>1049</v>
      </c>
      <c r="M5">
        <v>1</v>
      </c>
    </row>
    <row r="6" spans="1:13" x14ac:dyDescent="0.3">
      <c r="A6" t="s">
        <v>76</v>
      </c>
      <c r="B6" t="s">
        <v>24</v>
      </c>
      <c r="C6">
        <v>149</v>
      </c>
      <c r="D6" t="s">
        <v>11</v>
      </c>
      <c r="E6" s="30">
        <v>44946</v>
      </c>
      <c r="F6">
        <v>72</v>
      </c>
      <c r="G6">
        <v>4.3</v>
      </c>
      <c r="H6">
        <v>2023</v>
      </c>
      <c r="I6" t="s">
        <v>1062</v>
      </c>
      <c r="J6" t="s">
        <v>1090</v>
      </c>
      <c r="K6">
        <v>4</v>
      </c>
      <c r="L6" t="s">
        <v>1049</v>
      </c>
      <c r="M6">
        <v>1</v>
      </c>
    </row>
    <row r="7" spans="1:13" x14ac:dyDescent="0.3">
      <c r="A7" t="s">
        <v>131</v>
      </c>
      <c r="B7" t="s">
        <v>24</v>
      </c>
      <c r="C7">
        <v>28</v>
      </c>
      <c r="D7" t="s">
        <v>6</v>
      </c>
      <c r="E7" s="30">
        <v>44969</v>
      </c>
      <c r="F7">
        <v>74</v>
      </c>
      <c r="G7">
        <v>3.5</v>
      </c>
      <c r="H7">
        <v>2023</v>
      </c>
      <c r="I7" t="s">
        <v>1065</v>
      </c>
      <c r="J7" t="s">
        <v>1091</v>
      </c>
      <c r="K7">
        <v>4</v>
      </c>
      <c r="L7" t="s">
        <v>1050</v>
      </c>
      <c r="M7">
        <v>2</v>
      </c>
    </row>
    <row r="8" spans="1:13" x14ac:dyDescent="0.3">
      <c r="A8" t="s">
        <v>143</v>
      </c>
      <c r="B8" t="s">
        <v>24</v>
      </c>
      <c r="C8">
        <v>116</v>
      </c>
      <c r="D8" t="s">
        <v>10</v>
      </c>
      <c r="E8" s="30">
        <v>44973</v>
      </c>
      <c r="F8">
        <v>140</v>
      </c>
      <c r="G8">
        <v>3.6</v>
      </c>
      <c r="H8">
        <v>2023</v>
      </c>
      <c r="I8" t="s">
        <v>1066</v>
      </c>
      <c r="J8" t="s">
        <v>1089</v>
      </c>
      <c r="K8">
        <v>4</v>
      </c>
      <c r="L8" t="s">
        <v>1050</v>
      </c>
      <c r="M8">
        <v>2</v>
      </c>
    </row>
    <row r="9" spans="1:13" x14ac:dyDescent="0.3">
      <c r="A9" t="s">
        <v>174</v>
      </c>
      <c r="B9" t="s">
        <v>24</v>
      </c>
      <c r="C9">
        <v>89</v>
      </c>
      <c r="D9" t="s">
        <v>6</v>
      </c>
      <c r="E9" s="30">
        <v>44986</v>
      </c>
      <c r="F9">
        <v>126</v>
      </c>
      <c r="G9">
        <v>3.6</v>
      </c>
      <c r="H9">
        <v>2023</v>
      </c>
      <c r="I9" t="s">
        <v>1068</v>
      </c>
      <c r="J9" t="s">
        <v>1089</v>
      </c>
      <c r="K9">
        <v>4</v>
      </c>
      <c r="L9" t="s">
        <v>1051</v>
      </c>
      <c r="M9">
        <v>3</v>
      </c>
    </row>
    <row r="10" spans="1:13" x14ac:dyDescent="0.3">
      <c r="A10" t="s">
        <v>176</v>
      </c>
      <c r="B10" t="s">
        <v>24</v>
      </c>
      <c r="C10">
        <v>137</v>
      </c>
      <c r="D10" t="s">
        <v>13</v>
      </c>
      <c r="E10" s="30">
        <v>44986</v>
      </c>
      <c r="F10">
        <v>114</v>
      </c>
      <c r="G10">
        <v>3.2</v>
      </c>
      <c r="H10">
        <v>2023</v>
      </c>
      <c r="I10" t="s">
        <v>1068</v>
      </c>
      <c r="J10" t="s">
        <v>1090</v>
      </c>
      <c r="K10">
        <v>3</v>
      </c>
      <c r="L10" t="s">
        <v>1051</v>
      </c>
      <c r="M10">
        <v>3</v>
      </c>
    </row>
    <row r="11" spans="1:13" x14ac:dyDescent="0.3">
      <c r="A11" t="s">
        <v>177</v>
      </c>
      <c r="B11" t="s">
        <v>24</v>
      </c>
      <c r="C11">
        <v>43</v>
      </c>
      <c r="D11" t="s">
        <v>13</v>
      </c>
      <c r="E11" s="30">
        <v>44986</v>
      </c>
      <c r="F11">
        <v>99</v>
      </c>
      <c r="G11">
        <v>4.7</v>
      </c>
      <c r="H11">
        <v>2023</v>
      </c>
      <c r="I11" t="s">
        <v>1068</v>
      </c>
      <c r="J11" t="s">
        <v>1092</v>
      </c>
      <c r="K11">
        <v>5</v>
      </c>
      <c r="L11" t="s">
        <v>1051</v>
      </c>
      <c r="M11">
        <v>3</v>
      </c>
    </row>
    <row r="12" spans="1:13" x14ac:dyDescent="0.3">
      <c r="A12" t="s">
        <v>180</v>
      </c>
      <c r="B12" t="s">
        <v>24</v>
      </c>
      <c r="C12">
        <v>98</v>
      </c>
      <c r="D12" t="s">
        <v>11</v>
      </c>
      <c r="E12" s="30">
        <v>44987</v>
      </c>
      <c r="F12">
        <v>100</v>
      </c>
      <c r="G12">
        <v>3.8</v>
      </c>
      <c r="H12">
        <v>2023</v>
      </c>
      <c r="I12" t="s">
        <v>1066</v>
      </c>
      <c r="J12" t="s">
        <v>1089</v>
      </c>
      <c r="K12">
        <v>4</v>
      </c>
      <c r="L12" t="s">
        <v>1051</v>
      </c>
      <c r="M12">
        <v>3</v>
      </c>
    </row>
    <row r="13" spans="1:13" x14ac:dyDescent="0.3">
      <c r="A13" t="s">
        <v>198</v>
      </c>
      <c r="B13" t="s">
        <v>24</v>
      </c>
      <c r="C13">
        <v>86</v>
      </c>
      <c r="D13" t="s">
        <v>9</v>
      </c>
      <c r="E13" s="30">
        <v>44990</v>
      </c>
      <c r="F13">
        <v>27</v>
      </c>
      <c r="G13">
        <v>4.5</v>
      </c>
      <c r="H13">
        <v>2023</v>
      </c>
      <c r="I13" t="s">
        <v>1065</v>
      </c>
      <c r="J13" t="s">
        <v>1089</v>
      </c>
      <c r="K13">
        <v>5</v>
      </c>
      <c r="L13" t="s">
        <v>1051</v>
      </c>
      <c r="M13">
        <v>3</v>
      </c>
    </row>
    <row r="14" spans="1:13" x14ac:dyDescent="0.3">
      <c r="A14" t="s">
        <v>209</v>
      </c>
      <c r="B14" t="s">
        <v>24</v>
      </c>
      <c r="C14">
        <v>103</v>
      </c>
      <c r="D14" t="s">
        <v>10</v>
      </c>
      <c r="E14" s="30">
        <v>44992</v>
      </c>
      <c r="F14">
        <v>172</v>
      </c>
      <c r="G14">
        <v>4.3</v>
      </c>
      <c r="H14">
        <v>2023</v>
      </c>
      <c r="I14" t="s">
        <v>1067</v>
      </c>
      <c r="J14" t="s">
        <v>1089</v>
      </c>
      <c r="K14">
        <v>4</v>
      </c>
      <c r="L14" t="s">
        <v>1051</v>
      </c>
      <c r="M14">
        <v>3</v>
      </c>
    </row>
    <row r="15" spans="1:13" x14ac:dyDescent="0.3">
      <c r="A15" t="s">
        <v>210</v>
      </c>
      <c r="B15" t="s">
        <v>24</v>
      </c>
      <c r="C15">
        <v>75</v>
      </c>
      <c r="D15" t="s">
        <v>10</v>
      </c>
      <c r="E15" s="30">
        <v>44992</v>
      </c>
      <c r="F15">
        <v>111</v>
      </c>
      <c r="G15">
        <v>3.4</v>
      </c>
      <c r="H15">
        <v>2023</v>
      </c>
      <c r="I15" t="s">
        <v>1067</v>
      </c>
      <c r="J15" t="s">
        <v>1089</v>
      </c>
      <c r="K15">
        <v>3</v>
      </c>
      <c r="L15" t="s">
        <v>1051</v>
      </c>
      <c r="M15">
        <v>3</v>
      </c>
    </row>
    <row r="16" spans="1:13" x14ac:dyDescent="0.3">
      <c r="A16" t="s">
        <v>213</v>
      </c>
      <c r="B16" t="s">
        <v>24</v>
      </c>
      <c r="C16">
        <v>134</v>
      </c>
      <c r="D16" t="s">
        <v>11</v>
      </c>
      <c r="E16" s="30">
        <v>44992</v>
      </c>
      <c r="F16">
        <v>160</v>
      </c>
      <c r="G16">
        <v>4.5</v>
      </c>
      <c r="H16">
        <v>2023</v>
      </c>
      <c r="I16" t="s">
        <v>1067</v>
      </c>
      <c r="J16" t="s">
        <v>1090</v>
      </c>
      <c r="K16">
        <v>5</v>
      </c>
      <c r="L16" t="s">
        <v>1051</v>
      </c>
      <c r="M16">
        <v>3</v>
      </c>
    </row>
    <row r="17" spans="1:13" x14ac:dyDescent="0.3">
      <c r="A17" t="s">
        <v>244</v>
      </c>
      <c r="B17" t="s">
        <v>24</v>
      </c>
      <c r="C17">
        <v>68</v>
      </c>
      <c r="D17" t="s">
        <v>6</v>
      </c>
      <c r="E17" s="30">
        <v>44999</v>
      </c>
      <c r="F17">
        <v>32</v>
      </c>
      <c r="G17">
        <v>4.9000000000000004</v>
      </c>
      <c r="H17">
        <v>2023</v>
      </c>
      <c r="I17" t="s">
        <v>1067</v>
      </c>
      <c r="J17" t="s">
        <v>1089</v>
      </c>
      <c r="K17">
        <v>5</v>
      </c>
      <c r="L17" t="s">
        <v>1051</v>
      </c>
      <c r="M17">
        <v>3</v>
      </c>
    </row>
    <row r="18" spans="1:13" x14ac:dyDescent="0.3">
      <c r="A18" t="s">
        <v>289</v>
      </c>
      <c r="B18" t="s">
        <v>24</v>
      </c>
      <c r="C18">
        <v>101</v>
      </c>
      <c r="D18" t="s">
        <v>13</v>
      </c>
      <c r="E18" s="30">
        <v>45007</v>
      </c>
      <c r="F18">
        <v>130</v>
      </c>
      <c r="G18">
        <v>4.8</v>
      </c>
      <c r="H18">
        <v>2023</v>
      </c>
      <c r="I18" t="s">
        <v>1068</v>
      </c>
      <c r="J18" t="s">
        <v>1089</v>
      </c>
      <c r="K18">
        <v>5</v>
      </c>
      <c r="L18" t="s">
        <v>1051</v>
      </c>
      <c r="M18">
        <v>3</v>
      </c>
    </row>
    <row r="19" spans="1:13" x14ac:dyDescent="0.3">
      <c r="A19" t="s">
        <v>310</v>
      </c>
      <c r="B19" t="s">
        <v>24</v>
      </c>
      <c r="C19">
        <v>141</v>
      </c>
      <c r="D19" t="s">
        <v>6</v>
      </c>
      <c r="E19" s="30">
        <v>45012</v>
      </c>
      <c r="F19">
        <v>80</v>
      </c>
      <c r="G19">
        <v>4.4000000000000004</v>
      </c>
      <c r="H19">
        <v>2023</v>
      </c>
      <c r="I19" t="s">
        <v>1063</v>
      </c>
      <c r="J19" t="s">
        <v>1090</v>
      </c>
      <c r="K19">
        <v>4</v>
      </c>
      <c r="L19" t="s">
        <v>1051</v>
      </c>
      <c r="M19">
        <v>3</v>
      </c>
    </row>
    <row r="20" spans="1:13" x14ac:dyDescent="0.3">
      <c r="A20" t="s">
        <v>365</v>
      </c>
      <c r="B20" t="s">
        <v>24</v>
      </c>
      <c r="C20">
        <v>47</v>
      </c>
      <c r="D20" t="s">
        <v>10</v>
      </c>
      <c r="E20" s="30">
        <v>45025</v>
      </c>
      <c r="F20">
        <v>132</v>
      </c>
      <c r="G20">
        <v>3.7</v>
      </c>
      <c r="H20">
        <v>2023</v>
      </c>
      <c r="I20" t="s">
        <v>1065</v>
      </c>
      <c r="J20" t="s">
        <v>1092</v>
      </c>
      <c r="K20">
        <v>4</v>
      </c>
      <c r="L20" t="s">
        <v>1052</v>
      </c>
      <c r="M20">
        <v>4</v>
      </c>
    </row>
    <row r="21" spans="1:13" x14ac:dyDescent="0.3">
      <c r="A21" t="s">
        <v>368</v>
      </c>
      <c r="B21" t="s">
        <v>24</v>
      </c>
      <c r="C21">
        <v>116</v>
      </c>
      <c r="D21" t="s">
        <v>9</v>
      </c>
      <c r="E21" s="30">
        <v>45026</v>
      </c>
      <c r="F21">
        <v>22</v>
      </c>
      <c r="G21">
        <v>4.7</v>
      </c>
      <c r="H21">
        <v>2023</v>
      </c>
      <c r="I21" t="s">
        <v>1063</v>
      </c>
      <c r="J21" t="s">
        <v>1089</v>
      </c>
      <c r="K21">
        <v>5</v>
      </c>
      <c r="L21" t="s">
        <v>1052</v>
      </c>
      <c r="M21">
        <v>4</v>
      </c>
    </row>
    <row r="22" spans="1:13" x14ac:dyDescent="0.3">
      <c r="A22" t="s">
        <v>392</v>
      </c>
      <c r="B22" t="s">
        <v>24</v>
      </c>
      <c r="C22">
        <v>49</v>
      </c>
      <c r="D22" t="s">
        <v>6</v>
      </c>
      <c r="E22" s="30">
        <v>45032</v>
      </c>
      <c r="F22">
        <v>195</v>
      </c>
      <c r="G22">
        <v>2.6</v>
      </c>
      <c r="H22">
        <v>2023</v>
      </c>
      <c r="I22" t="s">
        <v>1065</v>
      </c>
      <c r="J22" t="s">
        <v>1092</v>
      </c>
      <c r="K22">
        <v>3</v>
      </c>
      <c r="L22" t="s">
        <v>1052</v>
      </c>
      <c r="M22">
        <v>4</v>
      </c>
    </row>
    <row r="23" spans="1:13" x14ac:dyDescent="0.3">
      <c r="A23" t="s">
        <v>420</v>
      </c>
      <c r="B23" t="s">
        <v>24</v>
      </c>
      <c r="C23">
        <v>24</v>
      </c>
      <c r="D23" t="s">
        <v>6</v>
      </c>
      <c r="E23" s="30">
        <v>45037</v>
      </c>
      <c r="F23">
        <v>74</v>
      </c>
      <c r="G23">
        <v>4.8</v>
      </c>
      <c r="H23">
        <v>2023</v>
      </c>
      <c r="I23" t="s">
        <v>1062</v>
      </c>
      <c r="J23" t="s">
        <v>1091</v>
      </c>
      <c r="K23">
        <v>5</v>
      </c>
      <c r="L23" t="s">
        <v>1052</v>
      </c>
      <c r="M23">
        <v>4</v>
      </c>
    </row>
    <row r="24" spans="1:13" x14ac:dyDescent="0.3">
      <c r="A24" t="s">
        <v>427</v>
      </c>
      <c r="B24" t="s">
        <v>24</v>
      </c>
      <c r="C24">
        <v>130</v>
      </c>
      <c r="D24" t="s">
        <v>11</v>
      </c>
      <c r="E24" s="30">
        <v>45039</v>
      </c>
      <c r="F24">
        <v>120</v>
      </c>
      <c r="G24">
        <v>3.8</v>
      </c>
      <c r="H24">
        <v>2023</v>
      </c>
      <c r="I24" t="s">
        <v>1065</v>
      </c>
      <c r="J24" t="s">
        <v>1090</v>
      </c>
      <c r="K24">
        <v>4</v>
      </c>
      <c r="L24" t="s">
        <v>1052</v>
      </c>
      <c r="M24">
        <v>4</v>
      </c>
    </row>
    <row r="25" spans="1:13" x14ac:dyDescent="0.3">
      <c r="A25" t="s">
        <v>447</v>
      </c>
      <c r="B25" t="s">
        <v>24</v>
      </c>
      <c r="C25">
        <v>105</v>
      </c>
      <c r="D25" t="s">
        <v>11</v>
      </c>
      <c r="E25" s="30">
        <v>45042</v>
      </c>
      <c r="F25">
        <v>66</v>
      </c>
      <c r="G25">
        <v>4.2</v>
      </c>
      <c r="H25">
        <v>2023</v>
      </c>
      <c r="I25" t="s">
        <v>1068</v>
      </c>
      <c r="J25" t="s">
        <v>1089</v>
      </c>
      <c r="K25">
        <v>4</v>
      </c>
      <c r="L25" t="s">
        <v>1052</v>
      </c>
      <c r="M25">
        <v>4</v>
      </c>
    </row>
    <row r="26" spans="1:13" x14ac:dyDescent="0.3">
      <c r="A26" t="s">
        <v>448</v>
      </c>
      <c r="B26" t="s">
        <v>24</v>
      </c>
      <c r="C26">
        <v>31</v>
      </c>
      <c r="D26" t="s">
        <v>11</v>
      </c>
      <c r="E26" s="30">
        <v>45042</v>
      </c>
      <c r="F26">
        <v>25</v>
      </c>
      <c r="G26">
        <v>3.2</v>
      </c>
      <c r="H26">
        <v>2023</v>
      </c>
      <c r="I26" t="s">
        <v>1068</v>
      </c>
      <c r="J26" t="s">
        <v>1092</v>
      </c>
      <c r="K26">
        <v>3</v>
      </c>
      <c r="L26" t="s">
        <v>1052</v>
      </c>
      <c r="M26">
        <v>4</v>
      </c>
    </row>
    <row r="27" spans="1:13" x14ac:dyDescent="0.3">
      <c r="A27" t="s">
        <v>455</v>
      </c>
      <c r="B27" t="s">
        <v>24</v>
      </c>
      <c r="C27">
        <v>135</v>
      </c>
      <c r="D27" t="s">
        <v>6</v>
      </c>
      <c r="E27" s="30">
        <v>45045</v>
      </c>
      <c r="F27">
        <v>125</v>
      </c>
      <c r="G27">
        <v>3.3</v>
      </c>
      <c r="H27">
        <v>2023</v>
      </c>
      <c r="I27" t="s">
        <v>1064</v>
      </c>
      <c r="J27" t="s">
        <v>1090</v>
      </c>
      <c r="K27">
        <v>3</v>
      </c>
      <c r="L27" t="s">
        <v>1052</v>
      </c>
      <c r="M27">
        <v>4</v>
      </c>
    </row>
    <row r="28" spans="1:13" x14ac:dyDescent="0.3">
      <c r="A28" t="s">
        <v>460</v>
      </c>
      <c r="B28" t="s">
        <v>24</v>
      </c>
      <c r="C28">
        <v>95</v>
      </c>
      <c r="D28" t="s">
        <v>13</v>
      </c>
      <c r="E28" s="30">
        <v>45046</v>
      </c>
      <c r="F28">
        <v>75</v>
      </c>
      <c r="G28">
        <v>4.8</v>
      </c>
      <c r="H28">
        <v>2023</v>
      </c>
      <c r="I28" t="s">
        <v>1065</v>
      </c>
      <c r="J28" t="s">
        <v>1089</v>
      </c>
      <c r="K28">
        <v>5</v>
      </c>
      <c r="L28" t="s">
        <v>1052</v>
      </c>
      <c r="M28">
        <v>4</v>
      </c>
    </row>
    <row r="29" spans="1:13" x14ac:dyDescent="0.3">
      <c r="A29" t="s">
        <v>465</v>
      </c>
      <c r="B29" t="s">
        <v>24</v>
      </c>
      <c r="C29">
        <v>76</v>
      </c>
      <c r="D29" t="s">
        <v>10</v>
      </c>
      <c r="E29" s="30">
        <v>45047</v>
      </c>
      <c r="F29">
        <v>140</v>
      </c>
      <c r="G29">
        <v>3.7</v>
      </c>
      <c r="H29">
        <v>2023</v>
      </c>
      <c r="I29" t="s">
        <v>1063</v>
      </c>
      <c r="J29" t="s">
        <v>1089</v>
      </c>
      <c r="K29">
        <v>4</v>
      </c>
      <c r="L29" t="s">
        <v>1053</v>
      </c>
      <c r="M29">
        <v>5</v>
      </c>
    </row>
    <row r="30" spans="1:13" x14ac:dyDescent="0.3">
      <c r="A30" t="s">
        <v>477</v>
      </c>
      <c r="B30" t="s">
        <v>24</v>
      </c>
      <c r="C30">
        <v>40</v>
      </c>
      <c r="D30" t="s">
        <v>13</v>
      </c>
      <c r="E30" s="30">
        <v>45052</v>
      </c>
      <c r="F30">
        <v>108</v>
      </c>
      <c r="G30">
        <v>4.2</v>
      </c>
      <c r="H30">
        <v>2023</v>
      </c>
      <c r="I30" t="s">
        <v>1064</v>
      </c>
      <c r="J30" t="s">
        <v>1092</v>
      </c>
      <c r="K30">
        <v>4</v>
      </c>
      <c r="L30" t="s">
        <v>1053</v>
      </c>
      <c r="M30">
        <v>5</v>
      </c>
    </row>
    <row r="31" spans="1:13" x14ac:dyDescent="0.3">
      <c r="A31" t="s">
        <v>479</v>
      </c>
      <c r="B31" t="s">
        <v>24</v>
      </c>
      <c r="C31">
        <v>70</v>
      </c>
      <c r="D31" t="s">
        <v>13</v>
      </c>
      <c r="E31" s="30">
        <v>45053</v>
      </c>
      <c r="F31">
        <v>44</v>
      </c>
      <c r="G31">
        <v>3.5</v>
      </c>
      <c r="H31">
        <v>2023</v>
      </c>
      <c r="I31" t="s">
        <v>1065</v>
      </c>
      <c r="J31" t="s">
        <v>1089</v>
      </c>
      <c r="K31">
        <v>4</v>
      </c>
      <c r="L31" t="s">
        <v>1053</v>
      </c>
      <c r="M31">
        <v>5</v>
      </c>
    </row>
    <row r="32" spans="1:13" x14ac:dyDescent="0.3">
      <c r="A32" t="s">
        <v>502</v>
      </c>
      <c r="B32" t="s">
        <v>24</v>
      </c>
      <c r="C32">
        <v>50</v>
      </c>
      <c r="D32" t="s">
        <v>9</v>
      </c>
      <c r="E32" s="30">
        <v>45063</v>
      </c>
      <c r="F32">
        <v>26</v>
      </c>
      <c r="G32">
        <v>4.7</v>
      </c>
      <c r="H32">
        <v>2023</v>
      </c>
      <c r="I32" t="s">
        <v>1068</v>
      </c>
      <c r="J32" t="s">
        <v>1092</v>
      </c>
      <c r="K32">
        <v>5</v>
      </c>
      <c r="L32" t="s">
        <v>1053</v>
      </c>
      <c r="M32">
        <v>5</v>
      </c>
    </row>
    <row r="33" spans="1:13" x14ac:dyDescent="0.3">
      <c r="A33" t="s">
        <v>510</v>
      </c>
      <c r="B33" t="s">
        <v>24</v>
      </c>
      <c r="C33">
        <v>76</v>
      </c>
      <c r="D33" t="s">
        <v>13</v>
      </c>
      <c r="E33" s="30">
        <v>45068</v>
      </c>
      <c r="F33">
        <v>39</v>
      </c>
      <c r="G33">
        <v>4.5999999999999996</v>
      </c>
      <c r="H33">
        <v>2023</v>
      </c>
      <c r="I33" t="s">
        <v>1063</v>
      </c>
      <c r="J33" t="s">
        <v>1089</v>
      </c>
      <c r="K33">
        <v>5</v>
      </c>
      <c r="L33" t="s">
        <v>1053</v>
      </c>
      <c r="M33">
        <v>5</v>
      </c>
    </row>
    <row r="34" spans="1:13" x14ac:dyDescent="0.3">
      <c r="A34" t="s">
        <v>527</v>
      </c>
      <c r="B34" t="s">
        <v>24</v>
      </c>
      <c r="C34">
        <v>103</v>
      </c>
      <c r="D34" t="s">
        <v>10</v>
      </c>
      <c r="E34" s="30">
        <v>45072</v>
      </c>
      <c r="F34">
        <v>62</v>
      </c>
      <c r="G34">
        <v>3.4</v>
      </c>
      <c r="H34">
        <v>2023</v>
      </c>
      <c r="I34" t="s">
        <v>1062</v>
      </c>
      <c r="J34" t="s">
        <v>1089</v>
      </c>
      <c r="K34">
        <v>3</v>
      </c>
      <c r="L34" t="s">
        <v>1053</v>
      </c>
      <c r="M34">
        <v>5</v>
      </c>
    </row>
    <row r="35" spans="1:13" x14ac:dyDescent="0.3">
      <c r="A35" t="s">
        <v>561</v>
      </c>
      <c r="B35" t="s">
        <v>24</v>
      </c>
      <c r="C35">
        <v>76</v>
      </c>
      <c r="D35" t="s">
        <v>6</v>
      </c>
      <c r="E35" s="30">
        <v>45086</v>
      </c>
      <c r="F35">
        <v>164</v>
      </c>
      <c r="G35">
        <v>4.5</v>
      </c>
      <c r="H35">
        <v>2023</v>
      </c>
      <c r="I35" t="s">
        <v>1062</v>
      </c>
      <c r="J35" t="s">
        <v>1089</v>
      </c>
      <c r="K35">
        <v>5</v>
      </c>
      <c r="L35" t="s">
        <v>1054</v>
      </c>
      <c r="M35">
        <v>6</v>
      </c>
    </row>
    <row r="36" spans="1:13" x14ac:dyDescent="0.3">
      <c r="A36" t="s">
        <v>566</v>
      </c>
      <c r="B36" t="s">
        <v>24</v>
      </c>
      <c r="C36">
        <v>71</v>
      </c>
      <c r="D36" t="s">
        <v>6</v>
      </c>
      <c r="E36" s="30">
        <v>45089</v>
      </c>
      <c r="F36">
        <v>52</v>
      </c>
      <c r="G36">
        <v>3.4</v>
      </c>
      <c r="H36">
        <v>2023</v>
      </c>
      <c r="I36" t="s">
        <v>1063</v>
      </c>
      <c r="J36" t="s">
        <v>1089</v>
      </c>
      <c r="K36">
        <v>3</v>
      </c>
      <c r="L36" t="s">
        <v>1054</v>
      </c>
      <c r="M36">
        <v>6</v>
      </c>
    </row>
    <row r="37" spans="1:13" x14ac:dyDescent="0.3">
      <c r="A37" t="s">
        <v>567</v>
      </c>
      <c r="B37" t="s">
        <v>24</v>
      </c>
      <c r="C37">
        <v>121</v>
      </c>
      <c r="D37" t="s">
        <v>10</v>
      </c>
      <c r="E37" s="30">
        <v>45090</v>
      </c>
      <c r="F37">
        <v>84</v>
      </c>
      <c r="G37">
        <v>4.5999999999999996</v>
      </c>
      <c r="H37">
        <v>2023</v>
      </c>
      <c r="I37" t="s">
        <v>1067</v>
      </c>
      <c r="J37" t="s">
        <v>1090</v>
      </c>
      <c r="K37">
        <v>5</v>
      </c>
      <c r="L37" t="s">
        <v>1054</v>
      </c>
      <c r="M37">
        <v>6</v>
      </c>
    </row>
    <row r="38" spans="1:13" x14ac:dyDescent="0.3">
      <c r="A38" t="s">
        <v>568</v>
      </c>
      <c r="B38" t="s">
        <v>24</v>
      </c>
      <c r="C38">
        <v>60</v>
      </c>
      <c r="D38" t="s">
        <v>10</v>
      </c>
      <c r="E38" s="30">
        <v>45090</v>
      </c>
      <c r="F38">
        <v>37</v>
      </c>
      <c r="G38">
        <v>3.9</v>
      </c>
      <c r="H38">
        <v>2023</v>
      </c>
      <c r="I38" t="s">
        <v>1067</v>
      </c>
      <c r="J38" t="s">
        <v>1092</v>
      </c>
      <c r="K38">
        <v>4</v>
      </c>
      <c r="L38" t="s">
        <v>1054</v>
      </c>
      <c r="M38">
        <v>6</v>
      </c>
    </row>
    <row r="39" spans="1:13" x14ac:dyDescent="0.3">
      <c r="A39" t="s">
        <v>582</v>
      </c>
      <c r="B39" t="s">
        <v>24</v>
      </c>
      <c r="C39">
        <v>117</v>
      </c>
      <c r="D39" t="s">
        <v>11</v>
      </c>
      <c r="E39" s="30">
        <v>45097</v>
      </c>
      <c r="F39">
        <v>82</v>
      </c>
      <c r="G39">
        <v>3.5</v>
      </c>
      <c r="H39">
        <v>2023</v>
      </c>
      <c r="I39" t="s">
        <v>1067</v>
      </c>
      <c r="J39" t="s">
        <v>1089</v>
      </c>
      <c r="K39">
        <v>4</v>
      </c>
      <c r="L39" t="s">
        <v>1054</v>
      </c>
      <c r="M39">
        <v>6</v>
      </c>
    </row>
    <row r="40" spans="1:13" x14ac:dyDescent="0.3">
      <c r="A40" t="s">
        <v>598</v>
      </c>
      <c r="B40" t="s">
        <v>24</v>
      </c>
      <c r="C40">
        <v>133</v>
      </c>
      <c r="D40" t="s">
        <v>11</v>
      </c>
      <c r="E40" s="30">
        <v>45103</v>
      </c>
      <c r="F40">
        <v>21</v>
      </c>
      <c r="G40">
        <v>3.7</v>
      </c>
      <c r="H40">
        <v>2023</v>
      </c>
      <c r="I40" t="s">
        <v>1063</v>
      </c>
      <c r="J40" t="s">
        <v>1090</v>
      </c>
      <c r="K40">
        <v>4</v>
      </c>
      <c r="L40" t="s">
        <v>1054</v>
      </c>
      <c r="M40">
        <v>6</v>
      </c>
    </row>
    <row r="41" spans="1:13" x14ac:dyDescent="0.3">
      <c r="A41" t="s">
        <v>607</v>
      </c>
      <c r="B41" t="s">
        <v>24</v>
      </c>
      <c r="C41">
        <v>80</v>
      </c>
      <c r="D41" t="s">
        <v>10</v>
      </c>
      <c r="E41" s="30">
        <v>45105</v>
      </c>
      <c r="F41">
        <v>68</v>
      </c>
      <c r="G41">
        <v>3.1</v>
      </c>
      <c r="H41">
        <v>2023</v>
      </c>
      <c r="I41" t="s">
        <v>1068</v>
      </c>
      <c r="J41" t="s">
        <v>1089</v>
      </c>
      <c r="K41">
        <v>3</v>
      </c>
      <c r="L41" t="s">
        <v>1054</v>
      </c>
      <c r="M41">
        <v>6</v>
      </c>
    </row>
    <row r="42" spans="1:13" x14ac:dyDescent="0.3">
      <c r="A42" t="s">
        <v>612</v>
      </c>
      <c r="B42" t="s">
        <v>24</v>
      </c>
      <c r="C42">
        <v>90</v>
      </c>
      <c r="D42" t="s">
        <v>10</v>
      </c>
      <c r="E42" s="30">
        <v>45108</v>
      </c>
      <c r="F42">
        <v>129</v>
      </c>
      <c r="G42">
        <v>3.9</v>
      </c>
      <c r="H42">
        <v>2024</v>
      </c>
      <c r="I42" t="s">
        <v>1064</v>
      </c>
      <c r="J42" t="s">
        <v>1089</v>
      </c>
      <c r="K42">
        <v>4</v>
      </c>
      <c r="L42" t="s">
        <v>1055</v>
      </c>
      <c r="M42">
        <v>7</v>
      </c>
    </row>
    <row r="43" spans="1:13" x14ac:dyDescent="0.3">
      <c r="A43" t="s">
        <v>628</v>
      </c>
      <c r="B43" t="s">
        <v>24</v>
      </c>
      <c r="C43">
        <v>88</v>
      </c>
      <c r="D43" t="s">
        <v>11</v>
      </c>
      <c r="E43" s="30">
        <v>45115</v>
      </c>
      <c r="F43">
        <v>110</v>
      </c>
      <c r="G43">
        <v>4.8</v>
      </c>
      <c r="H43">
        <v>2024</v>
      </c>
      <c r="I43" t="s">
        <v>1064</v>
      </c>
      <c r="J43" t="s">
        <v>1089</v>
      </c>
      <c r="K43">
        <v>5</v>
      </c>
      <c r="L43" t="s">
        <v>1055</v>
      </c>
      <c r="M43">
        <v>7</v>
      </c>
    </row>
    <row r="44" spans="1:13" x14ac:dyDescent="0.3">
      <c r="A44" t="s">
        <v>630</v>
      </c>
      <c r="B44" t="s">
        <v>24</v>
      </c>
      <c r="C44">
        <v>72</v>
      </c>
      <c r="D44" t="s">
        <v>10</v>
      </c>
      <c r="E44" s="30">
        <v>45115</v>
      </c>
      <c r="F44">
        <v>76</v>
      </c>
      <c r="G44">
        <v>4.5</v>
      </c>
      <c r="H44">
        <v>2024</v>
      </c>
      <c r="I44" t="s">
        <v>1064</v>
      </c>
      <c r="J44" t="s">
        <v>1089</v>
      </c>
      <c r="K44">
        <v>5</v>
      </c>
      <c r="L44" t="s">
        <v>1055</v>
      </c>
      <c r="M44">
        <v>7</v>
      </c>
    </row>
    <row r="45" spans="1:13" x14ac:dyDescent="0.3">
      <c r="A45" t="s">
        <v>632</v>
      </c>
      <c r="B45" t="s">
        <v>24</v>
      </c>
      <c r="C45">
        <v>52</v>
      </c>
      <c r="D45" t="s">
        <v>13</v>
      </c>
      <c r="E45" s="30">
        <v>45115</v>
      </c>
      <c r="F45">
        <v>42</v>
      </c>
      <c r="G45">
        <v>4.8</v>
      </c>
      <c r="H45">
        <v>2024</v>
      </c>
      <c r="I45" t="s">
        <v>1064</v>
      </c>
      <c r="J45" t="s">
        <v>1092</v>
      </c>
      <c r="K45">
        <v>5</v>
      </c>
      <c r="L45" t="s">
        <v>1055</v>
      </c>
      <c r="M45">
        <v>7</v>
      </c>
    </row>
    <row r="46" spans="1:13" x14ac:dyDescent="0.3">
      <c r="A46" t="s">
        <v>671</v>
      </c>
      <c r="B46" t="s">
        <v>24</v>
      </c>
      <c r="C46">
        <v>122</v>
      </c>
      <c r="D46" t="s">
        <v>13</v>
      </c>
      <c r="E46" s="30">
        <v>45138</v>
      </c>
      <c r="F46">
        <v>78</v>
      </c>
      <c r="G46">
        <v>2.7</v>
      </c>
      <c r="H46">
        <v>2024</v>
      </c>
      <c r="I46" t="s">
        <v>1063</v>
      </c>
      <c r="J46" t="s">
        <v>1090</v>
      </c>
      <c r="K46">
        <v>3</v>
      </c>
      <c r="L46" t="s">
        <v>1055</v>
      </c>
      <c r="M46">
        <v>7</v>
      </c>
    </row>
    <row r="47" spans="1:13" x14ac:dyDescent="0.3">
      <c r="A47" t="s">
        <v>704</v>
      </c>
      <c r="B47" t="s">
        <v>24</v>
      </c>
      <c r="C47">
        <v>64</v>
      </c>
      <c r="D47" t="s">
        <v>6</v>
      </c>
      <c r="E47" s="30">
        <v>45158</v>
      </c>
      <c r="F47">
        <v>111</v>
      </c>
      <c r="G47">
        <v>3.9</v>
      </c>
      <c r="H47">
        <v>2024</v>
      </c>
      <c r="I47" t="s">
        <v>1065</v>
      </c>
      <c r="J47" t="s">
        <v>1089</v>
      </c>
      <c r="K47">
        <v>4</v>
      </c>
      <c r="L47" t="s">
        <v>1056</v>
      </c>
      <c r="M47">
        <v>8</v>
      </c>
    </row>
    <row r="48" spans="1:13" x14ac:dyDescent="0.3">
      <c r="A48" t="s">
        <v>709</v>
      </c>
      <c r="B48" t="s">
        <v>24</v>
      </c>
      <c r="C48">
        <v>18</v>
      </c>
      <c r="D48" t="s">
        <v>9</v>
      </c>
      <c r="E48" s="30">
        <v>45162</v>
      </c>
      <c r="F48">
        <v>40</v>
      </c>
      <c r="G48">
        <v>4.4000000000000004</v>
      </c>
      <c r="H48">
        <v>2024</v>
      </c>
      <c r="I48" t="s">
        <v>1066</v>
      </c>
      <c r="J48" t="s">
        <v>1091</v>
      </c>
      <c r="K48">
        <v>4</v>
      </c>
      <c r="L48" t="s">
        <v>1056</v>
      </c>
      <c r="M48">
        <v>8</v>
      </c>
    </row>
    <row r="49" spans="1:13" x14ac:dyDescent="0.3">
      <c r="A49" t="s">
        <v>735</v>
      </c>
      <c r="B49" t="s">
        <v>24</v>
      </c>
      <c r="C49">
        <v>131</v>
      </c>
      <c r="D49" t="s">
        <v>10</v>
      </c>
      <c r="E49" s="30">
        <v>45174</v>
      </c>
      <c r="F49">
        <v>75</v>
      </c>
      <c r="G49">
        <v>4.4000000000000004</v>
      </c>
      <c r="H49">
        <v>2024</v>
      </c>
      <c r="I49" t="s">
        <v>1067</v>
      </c>
      <c r="J49" t="s">
        <v>1090</v>
      </c>
      <c r="K49">
        <v>4</v>
      </c>
      <c r="L49" t="s">
        <v>1057</v>
      </c>
      <c r="M49">
        <v>9</v>
      </c>
    </row>
    <row r="50" spans="1:13" x14ac:dyDescent="0.3">
      <c r="A50" t="s">
        <v>753</v>
      </c>
      <c r="B50" t="s">
        <v>24</v>
      </c>
      <c r="C50">
        <v>75</v>
      </c>
      <c r="D50" t="s">
        <v>6</v>
      </c>
      <c r="E50" s="30">
        <v>45181</v>
      </c>
      <c r="F50">
        <v>120</v>
      </c>
      <c r="G50">
        <v>4.4000000000000004</v>
      </c>
      <c r="H50">
        <v>2024</v>
      </c>
      <c r="I50" t="s">
        <v>1067</v>
      </c>
      <c r="J50" t="s">
        <v>1089</v>
      </c>
      <c r="K50">
        <v>4</v>
      </c>
      <c r="L50" t="s">
        <v>1057</v>
      </c>
      <c r="M50">
        <v>9</v>
      </c>
    </row>
    <row r="51" spans="1:13" x14ac:dyDescent="0.3">
      <c r="A51" t="s">
        <v>780</v>
      </c>
      <c r="B51" t="s">
        <v>24</v>
      </c>
      <c r="C51">
        <v>96</v>
      </c>
      <c r="D51" t="s">
        <v>10</v>
      </c>
      <c r="E51" s="30">
        <v>45195</v>
      </c>
      <c r="F51">
        <v>42</v>
      </c>
      <c r="G51">
        <v>4.5</v>
      </c>
      <c r="H51">
        <v>2024</v>
      </c>
      <c r="I51" t="s">
        <v>1067</v>
      </c>
      <c r="J51" t="s">
        <v>1089</v>
      </c>
      <c r="K51">
        <v>5</v>
      </c>
      <c r="L51" t="s">
        <v>1057</v>
      </c>
      <c r="M51">
        <v>9</v>
      </c>
    </row>
    <row r="52" spans="1:13" x14ac:dyDescent="0.3">
      <c r="A52" t="s">
        <v>783</v>
      </c>
      <c r="B52" t="s">
        <v>24</v>
      </c>
      <c r="C52">
        <v>152</v>
      </c>
      <c r="D52" t="s">
        <v>13</v>
      </c>
      <c r="E52" s="30">
        <v>45196</v>
      </c>
      <c r="F52">
        <v>88</v>
      </c>
      <c r="G52">
        <v>4.7</v>
      </c>
      <c r="H52">
        <v>2024</v>
      </c>
      <c r="I52" t="s">
        <v>1068</v>
      </c>
      <c r="J52" t="s">
        <v>1090</v>
      </c>
      <c r="K52">
        <v>5</v>
      </c>
      <c r="L52" t="s">
        <v>1057</v>
      </c>
      <c r="M52">
        <v>9</v>
      </c>
    </row>
    <row r="53" spans="1:13" x14ac:dyDescent="0.3">
      <c r="A53" t="s">
        <v>801</v>
      </c>
      <c r="B53" t="s">
        <v>24</v>
      </c>
      <c r="C53">
        <v>134</v>
      </c>
      <c r="D53" t="s">
        <v>6</v>
      </c>
      <c r="E53" s="30">
        <v>45199</v>
      </c>
      <c r="F53">
        <v>117</v>
      </c>
      <c r="G53">
        <v>4</v>
      </c>
      <c r="H53">
        <v>2024</v>
      </c>
      <c r="I53" t="s">
        <v>1064</v>
      </c>
      <c r="J53" t="s">
        <v>1090</v>
      </c>
      <c r="K53">
        <v>4</v>
      </c>
      <c r="L53" t="s">
        <v>1057</v>
      </c>
      <c r="M53">
        <v>9</v>
      </c>
    </row>
    <row r="54" spans="1:13" x14ac:dyDescent="0.3">
      <c r="A54" t="s">
        <v>815</v>
      </c>
      <c r="B54" t="s">
        <v>24</v>
      </c>
      <c r="C54">
        <v>78</v>
      </c>
      <c r="D54" t="s">
        <v>13</v>
      </c>
      <c r="E54" s="30">
        <v>45202</v>
      </c>
      <c r="F54">
        <v>84</v>
      </c>
      <c r="G54">
        <v>4.5999999999999996</v>
      </c>
      <c r="H54">
        <v>2024</v>
      </c>
      <c r="I54" t="s">
        <v>1067</v>
      </c>
      <c r="J54" t="s">
        <v>1089</v>
      </c>
      <c r="K54">
        <v>5</v>
      </c>
      <c r="L54" t="s">
        <v>1058</v>
      </c>
      <c r="M54">
        <v>10</v>
      </c>
    </row>
    <row r="55" spans="1:13" x14ac:dyDescent="0.3">
      <c r="A55" t="s">
        <v>834</v>
      </c>
      <c r="B55" t="s">
        <v>24</v>
      </c>
      <c r="C55">
        <v>18</v>
      </c>
      <c r="D55" t="s">
        <v>11</v>
      </c>
      <c r="E55" s="30">
        <v>45207</v>
      </c>
      <c r="F55">
        <v>96</v>
      </c>
      <c r="G55">
        <v>4.8</v>
      </c>
      <c r="H55">
        <v>2024</v>
      </c>
      <c r="I55" t="s">
        <v>1065</v>
      </c>
      <c r="J55" t="s">
        <v>1091</v>
      </c>
      <c r="K55">
        <v>5</v>
      </c>
      <c r="L55" t="s">
        <v>1058</v>
      </c>
      <c r="M55">
        <v>10</v>
      </c>
    </row>
    <row r="56" spans="1:13" x14ac:dyDescent="0.3">
      <c r="A56" t="s">
        <v>876</v>
      </c>
      <c r="B56" t="s">
        <v>24</v>
      </c>
      <c r="C56">
        <v>166</v>
      </c>
      <c r="D56" t="s">
        <v>13</v>
      </c>
      <c r="E56" s="30">
        <v>45218</v>
      </c>
      <c r="F56">
        <v>29</v>
      </c>
      <c r="G56">
        <v>4.3</v>
      </c>
      <c r="H56">
        <v>2024</v>
      </c>
      <c r="I56" t="s">
        <v>1066</v>
      </c>
      <c r="J56" t="s">
        <v>1090</v>
      </c>
      <c r="K56">
        <v>4</v>
      </c>
      <c r="L56" t="s">
        <v>1058</v>
      </c>
      <c r="M56">
        <v>10</v>
      </c>
    </row>
    <row r="57" spans="1:13" x14ac:dyDescent="0.3">
      <c r="A57" t="s">
        <v>882</v>
      </c>
      <c r="B57" t="s">
        <v>24</v>
      </c>
      <c r="C57">
        <v>105</v>
      </c>
      <c r="D57" t="s">
        <v>11</v>
      </c>
      <c r="E57" s="30">
        <v>45219</v>
      </c>
      <c r="F57">
        <v>185</v>
      </c>
      <c r="G57">
        <v>3.5</v>
      </c>
      <c r="H57">
        <v>2024</v>
      </c>
      <c r="I57" t="s">
        <v>1062</v>
      </c>
      <c r="J57" t="s">
        <v>1089</v>
      </c>
      <c r="K57">
        <v>4</v>
      </c>
      <c r="L57" t="s">
        <v>1058</v>
      </c>
      <c r="M57">
        <v>10</v>
      </c>
    </row>
    <row r="58" spans="1:13" x14ac:dyDescent="0.3">
      <c r="A58" t="s">
        <v>890</v>
      </c>
      <c r="B58" t="s">
        <v>24</v>
      </c>
      <c r="C58">
        <v>96</v>
      </c>
      <c r="D58" t="s">
        <v>13</v>
      </c>
      <c r="E58" s="30">
        <v>45222</v>
      </c>
      <c r="F58">
        <v>60</v>
      </c>
      <c r="G58">
        <v>4.5</v>
      </c>
      <c r="H58">
        <v>2024</v>
      </c>
      <c r="I58" t="s">
        <v>1063</v>
      </c>
      <c r="J58" t="s">
        <v>1089</v>
      </c>
      <c r="K58">
        <v>5</v>
      </c>
      <c r="L58" t="s">
        <v>1058</v>
      </c>
      <c r="M58">
        <v>10</v>
      </c>
    </row>
    <row r="59" spans="1:13" x14ac:dyDescent="0.3">
      <c r="A59" t="s">
        <v>903</v>
      </c>
      <c r="B59" t="s">
        <v>24</v>
      </c>
      <c r="C59">
        <v>72</v>
      </c>
      <c r="D59" t="s">
        <v>11</v>
      </c>
      <c r="E59" s="30">
        <v>45226</v>
      </c>
      <c r="F59">
        <v>108</v>
      </c>
      <c r="G59">
        <v>4.8</v>
      </c>
      <c r="H59">
        <v>2024</v>
      </c>
      <c r="I59" t="s">
        <v>1062</v>
      </c>
      <c r="J59" t="s">
        <v>1089</v>
      </c>
      <c r="K59">
        <v>5</v>
      </c>
      <c r="L59" t="s">
        <v>1058</v>
      </c>
      <c r="M59">
        <v>10</v>
      </c>
    </row>
    <row r="60" spans="1:13" x14ac:dyDescent="0.3">
      <c r="A60" t="s">
        <v>935</v>
      </c>
      <c r="B60" t="s">
        <v>24</v>
      </c>
      <c r="C60">
        <v>89</v>
      </c>
      <c r="D60" t="s">
        <v>10</v>
      </c>
      <c r="E60" s="30">
        <v>45241</v>
      </c>
      <c r="F60">
        <v>23</v>
      </c>
      <c r="G60">
        <v>4.5</v>
      </c>
      <c r="H60">
        <v>2024</v>
      </c>
      <c r="I60" t="s">
        <v>1064</v>
      </c>
      <c r="J60" t="s">
        <v>1089</v>
      </c>
      <c r="K60">
        <v>5</v>
      </c>
      <c r="L60" t="s">
        <v>1059</v>
      </c>
      <c r="M60">
        <v>11</v>
      </c>
    </row>
    <row r="61" spans="1:13" x14ac:dyDescent="0.3">
      <c r="A61" t="s">
        <v>940</v>
      </c>
      <c r="B61" t="s">
        <v>24</v>
      </c>
      <c r="C61">
        <v>39</v>
      </c>
      <c r="D61" t="s">
        <v>10</v>
      </c>
      <c r="E61" s="30">
        <v>45244</v>
      </c>
      <c r="F61">
        <v>43</v>
      </c>
      <c r="G61">
        <v>4.2</v>
      </c>
      <c r="H61">
        <v>2024</v>
      </c>
      <c r="I61" t="s">
        <v>1067</v>
      </c>
      <c r="J61" t="s">
        <v>1092</v>
      </c>
      <c r="K61">
        <v>4</v>
      </c>
      <c r="L61" t="s">
        <v>1059</v>
      </c>
      <c r="M61">
        <v>11</v>
      </c>
    </row>
    <row r="62" spans="1:13" x14ac:dyDescent="0.3">
      <c r="A62" t="s">
        <v>953</v>
      </c>
      <c r="B62" t="s">
        <v>24</v>
      </c>
      <c r="C62">
        <v>31</v>
      </c>
      <c r="D62" t="s">
        <v>11</v>
      </c>
      <c r="E62" s="30">
        <v>45248</v>
      </c>
      <c r="F62">
        <v>88</v>
      </c>
      <c r="G62">
        <v>3.4</v>
      </c>
      <c r="H62">
        <v>2024</v>
      </c>
      <c r="I62" t="s">
        <v>1064</v>
      </c>
      <c r="J62" t="s">
        <v>1092</v>
      </c>
      <c r="K62">
        <v>3</v>
      </c>
      <c r="L62" t="s">
        <v>1059</v>
      </c>
      <c r="M62">
        <v>11</v>
      </c>
    </row>
    <row r="63" spans="1:13" x14ac:dyDescent="0.3">
      <c r="A63" t="s">
        <v>963</v>
      </c>
      <c r="B63" t="s">
        <v>24</v>
      </c>
      <c r="C63">
        <v>56</v>
      </c>
      <c r="D63" t="s">
        <v>6</v>
      </c>
      <c r="E63" s="30">
        <v>45254</v>
      </c>
      <c r="F63">
        <v>205</v>
      </c>
      <c r="G63">
        <v>4.3</v>
      </c>
      <c r="H63">
        <v>2024</v>
      </c>
      <c r="I63" t="s">
        <v>1062</v>
      </c>
      <c r="J63" t="s">
        <v>1092</v>
      </c>
      <c r="K63">
        <v>4</v>
      </c>
      <c r="L63" t="s">
        <v>1059</v>
      </c>
      <c r="M63">
        <v>11</v>
      </c>
    </row>
    <row r="64" spans="1:13" x14ac:dyDescent="0.3">
      <c r="A64" t="s">
        <v>1007</v>
      </c>
      <c r="B64" t="s">
        <v>24</v>
      </c>
      <c r="C64">
        <v>141</v>
      </c>
      <c r="D64" t="s">
        <v>10</v>
      </c>
      <c r="E64" s="30">
        <v>45276</v>
      </c>
      <c r="F64">
        <v>66</v>
      </c>
      <c r="G64">
        <v>3.2</v>
      </c>
      <c r="H64">
        <v>2024</v>
      </c>
      <c r="I64" t="s">
        <v>1064</v>
      </c>
      <c r="J64" t="s">
        <v>1090</v>
      </c>
      <c r="K64">
        <v>3</v>
      </c>
      <c r="L64" t="s">
        <v>1060</v>
      </c>
      <c r="M64">
        <v>12</v>
      </c>
    </row>
    <row r="65" spans="1:13" x14ac:dyDescent="0.3">
      <c r="A65" t="s">
        <v>1025</v>
      </c>
      <c r="B65" t="s">
        <v>24</v>
      </c>
      <c r="C65">
        <v>86</v>
      </c>
      <c r="D65" t="s">
        <v>6</v>
      </c>
      <c r="E65" s="30">
        <v>45288</v>
      </c>
      <c r="F65">
        <v>205</v>
      </c>
      <c r="G65">
        <v>4.5</v>
      </c>
      <c r="H65">
        <v>2024</v>
      </c>
      <c r="I65" t="s">
        <v>1066</v>
      </c>
      <c r="J65" t="s">
        <v>1089</v>
      </c>
      <c r="K65">
        <v>5</v>
      </c>
      <c r="L65" t="s">
        <v>1060</v>
      </c>
      <c r="M65">
        <v>12</v>
      </c>
    </row>
    <row r="66" spans="1:13" x14ac:dyDescent="0.3">
      <c r="A66" t="s">
        <v>1031</v>
      </c>
      <c r="B66" t="s">
        <v>24</v>
      </c>
      <c r="C66">
        <v>81</v>
      </c>
      <c r="D66" t="s">
        <v>10</v>
      </c>
      <c r="E66" s="30">
        <v>45290</v>
      </c>
      <c r="F66">
        <v>28</v>
      </c>
      <c r="G66">
        <v>3.9</v>
      </c>
      <c r="H66">
        <v>2024</v>
      </c>
      <c r="I66" t="s">
        <v>1064</v>
      </c>
      <c r="J66" t="s">
        <v>1089</v>
      </c>
      <c r="K66">
        <v>4</v>
      </c>
      <c r="L66" t="s">
        <v>1060</v>
      </c>
      <c r="M66">
        <v>12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66B58-8586-4191-9815-E11833C068E3}">
  <dimension ref="A3:M99"/>
  <sheetViews>
    <sheetView topLeftCell="A45" zoomScale="110" workbookViewId="0">
      <selection activeCell="J56" sqref="J56"/>
    </sheetView>
  </sheetViews>
  <sheetFormatPr defaultRowHeight="14.4" x14ac:dyDescent="0.3"/>
  <cols>
    <col min="1" max="1" width="12.19921875" bestFit="1" customWidth="1"/>
    <col min="2" max="2" width="9.59765625" bestFit="1" customWidth="1"/>
    <col min="3" max="3" width="10.59765625" bestFit="1" customWidth="1"/>
    <col min="4" max="4" width="9.3984375" bestFit="1" customWidth="1"/>
    <col min="5" max="5" width="7.296875" bestFit="1" customWidth="1"/>
    <col min="6" max="8" width="6.3984375" bestFit="1" customWidth="1"/>
    <col min="9" max="9" width="12.19921875" bestFit="1" customWidth="1"/>
    <col min="10" max="11" width="9.59765625" bestFit="1" customWidth="1"/>
    <col min="12" max="12" width="22" bestFit="1" customWidth="1"/>
    <col min="13" max="13" width="9.59765625" bestFit="1" customWidth="1"/>
    <col min="14" max="14" width="22" bestFit="1" customWidth="1"/>
    <col min="15" max="15" width="14.19921875" bestFit="1" customWidth="1"/>
    <col min="16" max="16" width="26.59765625" bestFit="1" customWidth="1"/>
  </cols>
  <sheetData>
    <row r="3" spans="1:5" x14ac:dyDescent="0.3">
      <c r="A3" t="s">
        <v>1042</v>
      </c>
      <c r="B3" t="s">
        <v>1043</v>
      </c>
      <c r="C3" t="s">
        <v>1044</v>
      </c>
      <c r="D3" t="s">
        <v>1045</v>
      </c>
      <c r="E3" t="s">
        <v>1046</v>
      </c>
    </row>
    <row r="4" spans="1:5" x14ac:dyDescent="0.3">
      <c r="A4" s="21">
        <v>1000</v>
      </c>
      <c r="B4" s="22">
        <v>96623</v>
      </c>
      <c r="C4" s="21">
        <v>89850</v>
      </c>
      <c r="D4" s="23">
        <v>3.8854000000000033</v>
      </c>
      <c r="E4" s="21">
        <v>307</v>
      </c>
    </row>
    <row r="7" spans="1:5" ht="21" customHeight="1" x14ac:dyDescent="0.3"/>
    <row r="8" spans="1:5" x14ac:dyDescent="0.3">
      <c r="A8" t="s">
        <v>1042</v>
      </c>
      <c r="B8" t="s">
        <v>1043</v>
      </c>
      <c r="C8" t="s">
        <v>1044</v>
      </c>
      <c r="D8" t="s">
        <v>1045</v>
      </c>
      <c r="E8" t="s">
        <v>1046</v>
      </c>
    </row>
    <row r="9" spans="1:5" x14ac:dyDescent="0.3">
      <c r="A9" s="21">
        <v>186</v>
      </c>
      <c r="B9" s="22">
        <v>16651</v>
      </c>
      <c r="C9" s="21">
        <v>17807</v>
      </c>
      <c r="D9" s="23">
        <v>3.8973118279569863</v>
      </c>
      <c r="E9" s="21">
        <v>62</v>
      </c>
    </row>
    <row r="23" spans="1:10" ht="16.2" customHeight="1" x14ac:dyDescent="0.3"/>
    <row r="24" spans="1:10" x14ac:dyDescent="0.3">
      <c r="A24" s="24" t="s">
        <v>1047</v>
      </c>
      <c r="B24" t="s">
        <v>1042</v>
      </c>
      <c r="C24" t="s">
        <v>1061</v>
      </c>
      <c r="I24" s="24" t="s">
        <v>1047</v>
      </c>
      <c r="J24" t="s">
        <v>1042</v>
      </c>
    </row>
    <row r="25" spans="1:10" x14ac:dyDescent="0.3">
      <c r="A25" s="25" t="s">
        <v>1049</v>
      </c>
      <c r="B25" s="21">
        <v>10</v>
      </c>
      <c r="C25" s="21">
        <v>10</v>
      </c>
      <c r="I25" s="25" t="s">
        <v>1065</v>
      </c>
      <c r="J25" s="21">
        <v>25</v>
      </c>
    </row>
    <row r="26" spans="1:10" x14ac:dyDescent="0.3">
      <c r="A26" s="25" t="s">
        <v>1050</v>
      </c>
      <c r="B26" s="21">
        <v>11</v>
      </c>
      <c r="C26" s="21">
        <v>11</v>
      </c>
      <c r="I26" s="25" t="s">
        <v>1063</v>
      </c>
      <c r="J26" s="21">
        <v>23</v>
      </c>
    </row>
    <row r="27" spans="1:10" x14ac:dyDescent="0.3">
      <c r="A27" s="25" t="s">
        <v>1051</v>
      </c>
      <c r="B27" s="21">
        <v>30</v>
      </c>
      <c r="C27" s="21">
        <v>30</v>
      </c>
      <c r="I27" s="25" t="s">
        <v>1067</v>
      </c>
      <c r="J27" s="21">
        <v>28</v>
      </c>
    </row>
    <row r="28" spans="1:10" x14ac:dyDescent="0.3">
      <c r="A28" s="25" t="s">
        <v>1052</v>
      </c>
      <c r="B28" s="21">
        <v>23</v>
      </c>
      <c r="C28" s="21">
        <v>23</v>
      </c>
      <c r="I28" s="25" t="s">
        <v>1068</v>
      </c>
      <c r="J28" s="21">
        <v>29</v>
      </c>
    </row>
    <row r="29" spans="1:10" x14ac:dyDescent="0.3">
      <c r="A29" s="25" t="s">
        <v>1053</v>
      </c>
      <c r="B29" s="21">
        <v>22</v>
      </c>
      <c r="C29" s="21">
        <v>22</v>
      </c>
      <c r="I29" s="25" t="s">
        <v>1066</v>
      </c>
      <c r="J29" s="21">
        <v>18</v>
      </c>
    </row>
    <row r="30" spans="1:10" x14ac:dyDescent="0.3">
      <c r="A30" s="25" t="s">
        <v>1054</v>
      </c>
      <c r="B30" s="21">
        <v>11</v>
      </c>
      <c r="C30" s="21">
        <v>11</v>
      </c>
      <c r="I30" s="25" t="s">
        <v>1062</v>
      </c>
      <c r="J30" s="21">
        <v>29</v>
      </c>
    </row>
    <row r="31" spans="1:10" x14ac:dyDescent="0.3">
      <c r="A31" s="25" t="s">
        <v>1055</v>
      </c>
      <c r="B31" s="21">
        <v>17</v>
      </c>
      <c r="C31" s="21">
        <v>17</v>
      </c>
      <c r="I31" s="25" t="s">
        <v>1064</v>
      </c>
      <c r="J31" s="21">
        <v>34</v>
      </c>
    </row>
    <row r="32" spans="1:10" x14ac:dyDescent="0.3">
      <c r="A32" s="25" t="s">
        <v>1056</v>
      </c>
      <c r="B32" s="21">
        <v>12</v>
      </c>
      <c r="C32" s="21">
        <v>12</v>
      </c>
      <c r="I32" s="25" t="s">
        <v>1048</v>
      </c>
      <c r="J32" s="21">
        <v>186</v>
      </c>
    </row>
    <row r="33" spans="1:11" x14ac:dyDescent="0.3">
      <c r="A33" s="25" t="s">
        <v>1057</v>
      </c>
      <c r="B33" s="21">
        <v>13</v>
      </c>
      <c r="C33" s="21">
        <v>13</v>
      </c>
    </row>
    <row r="34" spans="1:11" x14ac:dyDescent="0.3">
      <c r="A34" s="25" t="s">
        <v>1058</v>
      </c>
      <c r="B34" s="21">
        <v>15</v>
      </c>
      <c r="C34" s="21">
        <v>15</v>
      </c>
    </row>
    <row r="35" spans="1:11" x14ac:dyDescent="0.3">
      <c r="A35" s="25" t="s">
        <v>1059</v>
      </c>
      <c r="B35" s="21">
        <v>8</v>
      </c>
      <c r="C35" s="21">
        <v>8</v>
      </c>
    </row>
    <row r="36" spans="1:11" x14ac:dyDescent="0.3">
      <c r="A36" s="25" t="s">
        <v>1060</v>
      </c>
      <c r="B36" s="21">
        <v>14</v>
      </c>
      <c r="C36" s="21">
        <v>14</v>
      </c>
    </row>
    <row r="37" spans="1:11" x14ac:dyDescent="0.3">
      <c r="A37" s="25" t="s">
        <v>1048</v>
      </c>
      <c r="B37" s="21">
        <v>186</v>
      </c>
      <c r="C37" s="21">
        <v>186</v>
      </c>
    </row>
    <row r="43" spans="1:11" x14ac:dyDescent="0.3">
      <c r="H43" t="s">
        <v>1072</v>
      </c>
      <c r="I43" s="28" t="str">
        <f>A55</f>
        <v>R04</v>
      </c>
    </row>
    <row r="45" spans="1:11" x14ac:dyDescent="0.3">
      <c r="A45" s="24" t="s">
        <v>1047</v>
      </c>
      <c r="B45" t="s">
        <v>1042</v>
      </c>
      <c r="C45" t="s">
        <v>1043</v>
      </c>
      <c r="G45" t="s">
        <v>1069</v>
      </c>
      <c r="H45" t="s">
        <v>1070</v>
      </c>
      <c r="I45" t="s">
        <v>1071</v>
      </c>
      <c r="J45" t="s">
        <v>1073</v>
      </c>
      <c r="K45" t="s">
        <v>1074</v>
      </c>
    </row>
    <row r="46" spans="1:11" x14ac:dyDescent="0.3">
      <c r="A46" s="25" t="s">
        <v>11</v>
      </c>
      <c r="B46" s="21">
        <v>189</v>
      </c>
      <c r="C46" s="22">
        <v>18415</v>
      </c>
      <c r="G46" s="25" t="s">
        <v>11</v>
      </c>
      <c r="H46" s="21">
        <v>189</v>
      </c>
      <c r="I46" s="26">
        <v>18415</v>
      </c>
      <c r="J46" t="e">
        <f>IF(G46=I43,H46,NA())</f>
        <v>#N/A</v>
      </c>
      <c r="K46" t="e">
        <f>IF(G46=I43,I46,NA())</f>
        <v>#N/A</v>
      </c>
    </row>
    <row r="47" spans="1:11" x14ac:dyDescent="0.3">
      <c r="A47" s="25" t="s">
        <v>9</v>
      </c>
      <c r="B47" s="21">
        <v>218</v>
      </c>
      <c r="C47" s="22">
        <v>20581</v>
      </c>
      <c r="G47" s="25" t="s">
        <v>9</v>
      </c>
      <c r="H47" s="21">
        <v>218</v>
      </c>
      <c r="I47" s="26">
        <v>20581</v>
      </c>
      <c r="J47" t="e">
        <f>IF(G47=I43,H47,NA())</f>
        <v>#N/A</v>
      </c>
      <c r="K47" t="e">
        <f>IF(G47=I43,I47,NA())</f>
        <v>#N/A</v>
      </c>
    </row>
    <row r="48" spans="1:11" x14ac:dyDescent="0.3">
      <c r="A48" s="25" t="s">
        <v>6</v>
      </c>
      <c r="B48" s="21">
        <v>207</v>
      </c>
      <c r="C48" s="22">
        <v>20872</v>
      </c>
      <c r="G48" s="25" t="s">
        <v>6</v>
      </c>
      <c r="H48" s="21">
        <v>207</v>
      </c>
      <c r="I48" s="26">
        <v>20872</v>
      </c>
      <c r="J48" t="e">
        <f>IF(G48=I43,H48,NA())</f>
        <v>#N/A</v>
      </c>
      <c r="K48" t="e">
        <f>IF(G48=I43,I48,NA())</f>
        <v>#N/A</v>
      </c>
    </row>
    <row r="49" spans="1:11" x14ac:dyDescent="0.3">
      <c r="A49" s="25" t="s">
        <v>13</v>
      </c>
      <c r="B49" s="21">
        <v>186</v>
      </c>
      <c r="C49" s="22">
        <v>16651</v>
      </c>
      <c r="G49" s="25" t="s">
        <v>13</v>
      </c>
      <c r="H49" s="21">
        <v>186</v>
      </c>
      <c r="I49" s="26">
        <v>16651</v>
      </c>
      <c r="J49">
        <f>IF(G49=I43,H49,NA())</f>
        <v>186</v>
      </c>
      <c r="K49">
        <f>IF(G49=I43,I49,NA())</f>
        <v>16651</v>
      </c>
    </row>
    <row r="50" spans="1:11" x14ac:dyDescent="0.3">
      <c r="A50" s="25" t="s">
        <v>10</v>
      </c>
      <c r="B50" s="21">
        <v>200</v>
      </c>
      <c r="C50" s="22">
        <v>20104</v>
      </c>
      <c r="G50" s="25" t="s">
        <v>10</v>
      </c>
      <c r="H50" s="21">
        <v>200</v>
      </c>
      <c r="I50" s="26">
        <v>20104</v>
      </c>
      <c r="J50" t="e">
        <f>IF(G50=I43,H50,NA())</f>
        <v>#N/A</v>
      </c>
      <c r="K50" t="e">
        <f>IF(G50=I43,I50,NA())</f>
        <v>#N/A</v>
      </c>
    </row>
    <row r="51" spans="1:11" x14ac:dyDescent="0.3">
      <c r="A51" s="25" t="s">
        <v>1048</v>
      </c>
      <c r="B51" s="21">
        <v>1000</v>
      </c>
      <c r="C51" s="22">
        <v>96623</v>
      </c>
    </row>
    <row r="54" spans="1:11" x14ac:dyDescent="0.3">
      <c r="A54" s="24" t="s">
        <v>1047</v>
      </c>
    </row>
    <row r="55" spans="1:11" x14ac:dyDescent="0.3">
      <c r="A55" s="27" t="s">
        <v>13</v>
      </c>
      <c r="I55" t="s">
        <v>1096</v>
      </c>
      <c r="J55" t="e" vm="1">
        <f>_xlfn.XLOOKUP(Pivots!A55,Assets!E3:E7,Assets!F3:F7)</f>
        <v>#VALUE!</v>
      </c>
    </row>
    <row r="63" spans="1:11" x14ac:dyDescent="0.3">
      <c r="A63" s="24" t="s">
        <v>1042</v>
      </c>
      <c r="B63" s="24" t="s">
        <v>1075</v>
      </c>
    </row>
    <row r="64" spans="1:11" x14ac:dyDescent="0.3">
      <c r="A64" s="24" t="s">
        <v>1047</v>
      </c>
      <c r="B64" t="s">
        <v>999</v>
      </c>
      <c r="C64" t="s">
        <v>998</v>
      </c>
      <c r="D64" t="s">
        <v>1048</v>
      </c>
    </row>
    <row r="65" spans="1:5" x14ac:dyDescent="0.3">
      <c r="A65" s="25" t="s">
        <v>1002</v>
      </c>
      <c r="B65" s="21">
        <v>144</v>
      </c>
      <c r="C65" s="21">
        <v>132</v>
      </c>
      <c r="D65" s="21">
        <v>276</v>
      </c>
    </row>
    <row r="66" spans="1:5" x14ac:dyDescent="0.3">
      <c r="A66" s="25" t="s">
        <v>1001</v>
      </c>
      <c r="B66" s="21">
        <v>326</v>
      </c>
      <c r="C66" s="21">
        <v>63</v>
      </c>
      <c r="D66" s="21">
        <v>389</v>
      </c>
    </row>
    <row r="67" spans="1:5" x14ac:dyDescent="0.3">
      <c r="A67" s="25" t="s">
        <v>1000</v>
      </c>
      <c r="B67" s="21">
        <v>129</v>
      </c>
      <c r="C67" s="21">
        <v>206</v>
      </c>
      <c r="D67" s="21">
        <v>335</v>
      </c>
    </row>
    <row r="68" spans="1:5" x14ac:dyDescent="0.3">
      <c r="A68" s="25" t="s">
        <v>1048</v>
      </c>
      <c r="B68" s="21">
        <v>599</v>
      </c>
      <c r="C68" s="21">
        <v>401</v>
      </c>
      <c r="D68" s="21">
        <v>1000</v>
      </c>
    </row>
    <row r="71" spans="1:5" x14ac:dyDescent="0.3">
      <c r="A71" s="24" t="s">
        <v>1047</v>
      </c>
      <c r="B71" t="s">
        <v>1042</v>
      </c>
    </row>
    <row r="72" spans="1:5" x14ac:dyDescent="0.3">
      <c r="A72" s="25">
        <v>1</v>
      </c>
      <c r="B72" s="21">
        <v>3</v>
      </c>
    </row>
    <row r="73" spans="1:5" x14ac:dyDescent="0.3">
      <c r="A73" s="25">
        <v>2</v>
      </c>
      <c r="B73" s="21">
        <v>10</v>
      </c>
    </row>
    <row r="74" spans="1:5" x14ac:dyDescent="0.3">
      <c r="A74" s="25">
        <v>3</v>
      </c>
      <c r="B74" s="21">
        <v>41</v>
      </c>
    </row>
    <row r="75" spans="1:5" x14ac:dyDescent="0.3">
      <c r="A75" s="25">
        <v>4</v>
      </c>
      <c r="B75" s="21">
        <v>70</v>
      </c>
    </row>
    <row r="76" spans="1:5" x14ac:dyDescent="0.3">
      <c r="A76" s="25">
        <v>5</v>
      </c>
      <c r="B76" s="21">
        <v>62</v>
      </c>
    </row>
    <row r="77" spans="1:5" x14ac:dyDescent="0.3">
      <c r="A77" s="25" t="s">
        <v>1048</v>
      </c>
      <c r="B77" s="21">
        <v>186</v>
      </c>
    </row>
    <row r="80" spans="1:5" x14ac:dyDescent="0.3">
      <c r="D80" s="24" t="s">
        <v>1043</v>
      </c>
      <c r="E80" s="24" t="s">
        <v>1075</v>
      </c>
    </row>
    <row r="81" spans="4:13" x14ac:dyDescent="0.3">
      <c r="D81" s="24" t="s">
        <v>1047</v>
      </c>
      <c r="E81" t="s">
        <v>11</v>
      </c>
      <c r="F81" t="s">
        <v>9</v>
      </c>
      <c r="G81" t="s">
        <v>6</v>
      </c>
      <c r="H81" t="s">
        <v>13</v>
      </c>
      <c r="I81" t="s">
        <v>10</v>
      </c>
      <c r="J81" t="s">
        <v>1048</v>
      </c>
      <c r="M81" t="e" cm="1">
        <f t="array" ref="M81">I56image</f>
        <v>#NAME?</v>
      </c>
    </row>
    <row r="82" spans="4:13" x14ac:dyDescent="0.3">
      <c r="D82" s="25" t="s">
        <v>1002</v>
      </c>
      <c r="E82" s="31"/>
      <c r="F82" s="31"/>
      <c r="G82" s="31"/>
      <c r="H82" s="31"/>
      <c r="I82" s="31"/>
      <c r="J82" s="31"/>
    </row>
    <row r="83" spans="4:13" x14ac:dyDescent="0.3">
      <c r="D83" s="29" t="s">
        <v>20</v>
      </c>
      <c r="E83" s="32">
        <v>891</v>
      </c>
      <c r="F83" s="32">
        <v>1332</v>
      </c>
      <c r="G83" s="32">
        <v>1282</v>
      </c>
      <c r="H83" s="32">
        <v>739</v>
      </c>
      <c r="I83" s="32">
        <v>560</v>
      </c>
      <c r="J83" s="32">
        <v>4804</v>
      </c>
    </row>
    <row r="84" spans="4:13" x14ac:dyDescent="0.3">
      <c r="D84" s="29" t="s">
        <v>12</v>
      </c>
      <c r="E84" s="32">
        <v>1991</v>
      </c>
      <c r="F84" s="32">
        <v>1886</v>
      </c>
      <c r="G84" s="32">
        <v>1206</v>
      </c>
      <c r="H84" s="32">
        <v>884</v>
      </c>
      <c r="I84" s="32">
        <v>1722</v>
      </c>
      <c r="J84" s="32">
        <v>7689</v>
      </c>
    </row>
    <row r="85" spans="4:13" x14ac:dyDescent="0.3">
      <c r="D85" s="29" t="s">
        <v>8</v>
      </c>
      <c r="E85" s="32">
        <v>1163</v>
      </c>
      <c r="F85" s="32">
        <v>1180</v>
      </c>
      <c r="G85" s="32">
        <v>1616</v>
      </c>
      <c r="H85" s="32">
        <v>1043</v>
      </c>
      <c r="I85" s="32">
        <v>1747</v>
      </c>
      <c r="J85" s="32">
        <v>6749</v>
      </c>
    </row>
    <row r="86" spans="4:13" x14ac:dyDescent="0.3">
      <c r="D86" s="29" t="s">
        <v>16</v>
      </c>
      <c r="E86" s="32">
        <v>1438</v>
      </c>
      <c r="F86" s="32">
        <v>1616</v>
      </c>
      <c r="G86" s="32">
        <v>866</v>
      </c>
      <c r="H86" s="32">
        <v>829</v>
      </c>
      <c r="I86" s="32">
        <v>2070</v>
      </c>
      <c r="J86" s="32">
        <v>6819</v>
      </c>
    </row>
    <row r="87" spans="4:13" x14ac:dyDescent="0.3">
      <c r="D87" s="25" t="s">
        <v>1001</v>
      </c>
      <c r="E87" s="31"/>
      <c r="F87" s="31"/>
      <c r="G87" s="31"/>
      <c r="H87" s="31"/>
      <c r="I87" s="31"/>
      <c r="J87" s="31"/>
    </row>
    <row r="88" spans="4:13" x14ac:dyDescent="0.3">
      <c r="D88" s="29" t="s">
        <v>24</v>
      </c>
      <c r="E88" s="32">
        <v>1233</v>
      </c>
      <c r="F88" s="32">
        <v>223</v>
      </c>
      <c r="G88" s="32">
        <v>1680</v>
      </c>
      <c r="H88" s="32">
        <v>990</v>
      </c>
      <c r="I88" s="32">
        <v>1508</v>
      </c>
      <c r="J88" s="32">
        <v>5634</v>
      </c>
      <c r="L88" t="s">
        <v>1094</v>
      </c>
    </row>
    <row r="89" spans="4:13" x14ac:dyDescent="0.3">
      <c r="D89" s="29" t="s">
        <v>15</v>
      </c>
      <c r="E89" s="32">
        <v>1598</v>
      </c>
      <c r="F89" s="32">
        <v>1907</v>
      </c>
      <c r="G89" s="32">
        <v>869</v>
      </c>
      <c r="H89" s="32">
        <v>1426</v>
      </c>
      <c r="I89" s="32">
        <v>1416</v>
      </c>
      <c r="J89" s="32">
        <v>7216</v>
      </c>
    </row>
    <row r="90" spans="4:13" x14ac:dyDescent="0.3">
      <c r="D90" s="29" t="s">
        <v>5</v>
      </c>
      <c r="E90" s="32">
        <v>900</v>
      </c>
      <c r="F90" s="32">
        <v>1016</v>
      </c>
      <c r="G90" s="32">
        <v>960</v>
      </c>
      <c r="H90" s="32">
        <v>940</v>
      </c>
      <c r="I90" s="32">
        <v>1193</v>
      </c>
      <c r="J90" s="32">
        <v>5009</v>
      </c>
    </row>
    <row r="91" spans="4:13" x14ac:dyDescent="0.3">
      <c r="D91" s="29" t="s">
        <v>18</v>
      </c>
      <c r="E91" s="32">
        <v>900</v>
      </c>
      <c r="F91" s="32">
        <v>1470</v>
      </c>
      <c r="G91" s="32">
        <v>1617</v>
      </c>
      <c r="H91" s="32">
        <v>1314</v>
      </c>
      <c r="I91" s="32">
        <v>941</v>
      </c>
      <c r="J91" s="32">
        <v>6242</v>
      </c>
    </row>
    <row r="92" spans="4:13" x14ac:dyDescent="0.3">
      <c r="D92" s="29" t="s">
        <v>14</v>
      </c>
      <c r="E92" s="32">
        <v>1255</v>
      </c>
      <c r="F92" s="32">
        <v>516</v>
      </c>
      <c r="G92" s="32">
        <v>1874</v>
      </c>
      <c r="H92" s="32">
        <v>1863</v>
      </c>
      <c r="I92" s="32">
        <v>1722</v>
      </c>
      <c r="J92" s="32">
        <v>7230</v>
      </c>
    </row>
    <row r="93" spans="4:13" x14ac:dyDescent="0.3">
      <c r="D93" s="29" t="s">
        <v>19</v>
      </c>
      <c r="E93" s="32">
        <v>1138</v>
      </c>
      <c r="F93" s="32">
        <v>1898</v>
      </c>
      <c r="G93" s="32">
        <v>1482</v>
      </c>
      <c r="H93" s="32">
        <v>846</v>
      </c>
      <c r="I93" s="32">
        <v>1154</v>
      </c>
      <c r="J93" s="32">
        <v>6518</v>
      </c>
    </row>
    <row r="94" spans="4:13" x14ac:dyDescent="0.3">
      <c r="D94" s="25" t="s">
        <v>1000</v>
      </c>
      <c r="E94" s="31"/>
      <c r="F94" s="31"/>
      <c r="G94" s="31"/>
      <c r="H94" s="31"/>
      <c r="I94" s="31"/>
      <c r="J94" s="31"/>
    </row>
    <row r="95" spans="4:13" x14ac:dyDescent="0.3">
      <c r="D95" s="29" t="s">
        <v>17</v>
      </c>
      <c r="E95" s="32">
        <v>1655</v>
      </c>
      <c r="F95" s="32">
        <v>805</v>
      </c>
      <c r="G95" s="32">
        <v>2263</v>
      </c>
      <c r="H95" s="32">
        <v>987</v>
      </c>
      <c r="I95" s="32">
        <v>1075</v>
      </c>
      <c r="J95" s="32">
        <v>6785</v>
      </c>
    </row>
    <row r="96" spans="4:13" x14ac:dyDescent="0.3">
      <c r="D96" s="29" t="s">
        <v>23</v>
      </c>
      <c r="E96" s="32">
        <v>1104</v>
      </c>
      <c r="F96" s="32">
        <v>2280</v>
      </c>
      <c r="G96" s="32">
        <v>1445</v>
      </c>
      <c r="H96" s="32">
        <v>1722</v>
      </c>
      <c r="I96" s="32">
        <v>1196</v>
      </c>
      <c r="J96" s="32">
        <v>7747</v>
      </c>
    </row>
    <row r="97" spans="4:10" x14ac:dyDescent="0.3">
      <c r="D97" s="29" t="s">
        <v>7</v>
      </c>
      <c r="E97" s="32">
        <v>372</v>
      </c>
      <c r="F97" s="32">
        <v>1818</v>
      </c>
      <c r="G97" s="32">
        <v>1346</v>
      </c>
      <c r="H97" s="32">
        <v>1156</v>
      </c>
      <c r="I97" s="32">
        <v>1484</v>
      </c>
      <c r="J97" s="32">
        <v>6176</v>
      </c>
    </row>
    <row r="98" spans="4:10" x14ac:dyDescent="0.3">
      <c r="D98" s="29" t="s">
        <v>22</v>
      </c>
      <c r="E98" s="32">
        <v>1415</v>
      </c>
      <c r="F98" s="32">
        <v>1271</v>
      </c>
      <c r="G98" s="32">
        <v>1214</v>
      </c>
      <c r="H98" s="32">
        <v>1135</v>
      </c>
      <c r="I98" s="32">
        <v>1566</v>
      </c>
      <c r="J98" s="32">
        <v>6601</v>
      </c>
    </row>
    <row r="99" spans="4:10" x14ac:dyDescent="0.3">
      <c r="D99" s="29" t="s">
        <v>21</v>
      </c>
      <c r="E99" s="32">
        <v>1362</v>
      </c>
      <c r="F99" s="32">
        <v>1363</v>
      </c>
      <c r="G99" s="32">
        <v>1152</v>
      </c>
      <c r="H99" s="32">
        <v>777</v>
      </c>
      <c r="I99" s="32">
        <v>750</v>
      </c>
      <c r="J99" s="32">
        <v>5404</v>
      </c>
    </row>
  </sheetData>
  <pageMargins left="0.7" right="0.7" top="0.75" bottom="0.75" header="0.3" footer="0.3"/>
  <pageSetup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96" zoomScaleNormal="115" workbookViewId="0">
      <selection activeCell="C5" sqref="C5"/>
    </sheetView>
  </sheetViews>
  <sheetFormatPr defaultRowHeight="14.4" x14ac:dyDescent="0.3"/>
  <cols>
    <col min="1" max="1" width="3.19921875" customWidth="1"/>
    <col min="2" max="2" width="14.59765625" customWidth="1"/>
    <col min="3" max="3" width="13" customWidth="1"/>
    <col min="4" max="4" width="16.59765625" customWidth="1"/>
    <col min="5" max="5" width="15" customWidth="1"/>
    <col min="6" max="6" width="16" customWidth="1"/>
    <col min="7" max="7" width="17.3984375" customWidth="1"/>
    <col min="8" max="8" width="18.5" customWidth="1"/>
    <col min="9" max="9" width="17.39843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0AE99-8265-4F50-8F5B-848E7B1572DF}">
  <dimension ref="M23:X41"/>
  <sheetViews>
    <sheetView tabSelected="1" topLeftCell="B1" zoomScale="90" zoomScaleNormal="100" workbookViewId="0">
      <selection activeCell="AA36" sqref="AA36"/>
    </sheetView>
  </sheetViews>
  <sheetFormatPr defaultRowHeight="14.4" x14ac:dyDescent="0.3"/>
  <cols>
    <col min="1" max="1" width="3.796875" style="20" customWidth="1"/>
    <col min="2" max="2" width="3.69921875" style="20" customWidth="1"/>
    <col min="3" max="16" width="8.796875" style="20"/>
    <col min="17" max="17" width="8.796875" style="20" customWidth="1"/>
    <col min="18" max="16384" width="8.796875" style="20"/>
  </cols>
  <sheetData>
    <row r="23" spans="13:24" ht="15.6" x14ac:dyDescent="0.3">
      <c r="R23" s="33"/>
      <c r="S23" s="34" t="str" cm="1">
        <f t="array" ref="S23:W23">Pivots!E81:I81</f>
        <v>R01</v>
      </c>
      <c r="T23" s="35" t="str">
        <v>R02</v>
      </c>
      <c r="U23" s="35" t="str">
        <v>R03</v>
      </c>
      <c r="V23" s="35" t="str">
        <v>R04</v>
      </c>
      <c r="W23" s="35" t="str">
        <v>R05</v>
      </c>
      <c r="X23" s="36" t="s">
        <v>1095</v>
      </c>
    </row>
    <row r="24" spans="13:24" ht="15.6" x14ac:dyDescent="0.3">
      <c r="R24" s="37" t="str" cm="1">
        <f t="array" ref="R24:X41">IF(Pivots!D82:J99="","",Pivots!D82:J99)</f>
        <v>Cincinnati</v>
      </c>
      <c r="S24" s="33" t="str">
        <v/>
      </c>
      <c r="T24" s="33" t="str">
        <v/>
      </c>
      <c r="U24" s="33" t="str">
        <v/>
      </c>
      <c r="V24" s="33" t="str">
        <v/>
      </c>
      <c r="W24" s="33" t="str">
        <v/>
      </c>
      <c r="X24" s="33" t="str">
        <v/>
      </c>
    </row>
    <row r="25" spans="13:24" ht="15.6" x14ac:dyDescent="0.3">
      <c r="R25" s="37" t="str">
        <v>C0003</v>
      </c>
      <c r="S25" s="38">
        <v>891</v>
      </c>
      <c r="T25" s="38">
        <v>1332</v>
      </c>
      <c r="U25" s="38">
        <v>1282</v>
      </c>
      <c r="V25" s="38">
        <v>739</v>
      </c>
      <c r="W25" s="38">
        <v>560</v>
      </c>
      <c r="X25" s="38">
        <v>4804</v>
      </c>
    </row>
    <row r="26" spans="13:24" ht="15.6" x14ac:dyDescent="0.3">
      <c r="R26" s="37" t="str">
        <v>C0004</v>
      </c>
      <c r="S26" s="38">
        <v>1991</v>
      </c>
      <c r="T26" s="38">
        <v>1886</v>
      </c>
      <c r="U26" s="38">
        <v>1206</v>
      </c>
      <c r="V26" s="38">
        <v>884</v>
      </c>
      <c r="W26" s="38">
        <v>1722</v>
      </c>
      <c r="X26" s="38">
        <v>7689</v>
      </c>
    </row>
    <row r="27" spans="13:24" ht="15.6" x14ac:dyDescent="0.3">
      <c r="R27" s="37" t="str">
        <v>C0011</v>
      </c>
      <c r="S27" s="38">
        <v>1163</v>
      </c>
      <c r="T27" s="38">
        <v>1180</v>
      </c>
      <c r="U27" s="38">
        <v>1616</v>
      </c>
      <c r="V27" s="38">
        <v>1043</v>
      </c>
      <c r="W27" s="38">
        <v>1747</v>
      </c>
      <c r="X27" s="38">
        <v>6749</v>
      </c>
    </row>
    <row r="28" spans="13:24" ht="15.6" x14ac:dyDescent="0.3">
      <c r="R28" s="37" t="str">
        <v>C0012</v>
      </c>
      <c r="S28" s="38">
        <v>1438</v>
      </c>
      <c r="T28" s="38">
        <v>1616</v>
      </c>
      <c r="U28" s="38">
        <v>866</v>
      </c>
      <c r="V28" s="38">
        <v>829</v>
      </c>
      <c r="W28" s="38">
        <v>2070</v>
      </c>
      <c r="X28" s="38">
        <v>6819</v>
      </c>
    </row>
    <row r="29" spans="13:24" ht="15.6" x14ac:dyDescent="0.3">
      <c r="R29" s="37" t="str">
        <v>Cleveland</v>
      </c>
      <c r="S29" s="38" t="str">
        <v/>
      </c>
      <c r="T29" s="38" t="str">
        <v/>
      </c>
      <c r="U29" s="38" t="str">
        <v/>
      </c>
      <c r="V29" s="38" t="str">
        <v/>
      </c>
      <c r="W29" s="38" t="str">
        <v/>
      </c>
      <c r="X29" s="38" t="str">
        <v/>
      </c>
    </row>
    <row r="30" spans="13:24" ht="15.6" x14ac:dyDescent="0.3">
      <c r="M30" s="39" t="e" vm="1">
        <f>Pivots!J55</f>
        <v>#VALUE!</v>
      </c>
      <c r="N30" s="39"/>
      <c r="O30" s="39"/>
      <c r="P30" s="39"/>
      <c r="R30" s="37" t="str">
        <v>C0002</v>
      </c>
      <c r="S30" s="38">
        <v>1233</v>
      </c>
      <c r="T30" s="38">
        <v>223</v>
      </c>
      <c r="U30" s="38">
        <v>1680</v>
      </c>
      <c r="V30" s="38">
        <v>990</v>
      </c>
      <c r="W30" s="38">
        <v>1508</v>
      </c>
      <c r="X30" s="38">
        <v>5634</v>
      </c>
    </row>
    <row r="31" spans="13:24" ht="15.6" x14ac:dyDescent="0.3">
      <c r="M31" s="39"/>
      <c r="N31" s="39"/>
      <c r="O31" s="39"/>
      <c r="P31" s="39"/>
      <c r="R31" s="37" t="str">
        <v>C0007</v>
      </c>
      <c r="S31" s="38">
        <v>1598</v>
      </c>
      <c r="T31" s="38">
        <v>1907</v>
      </c>
      <c r="U31" s="38">
        <v>869</v>
      </c>
      <c r="V31" s="38">
        <v>1426</v>
      </c>
      <c r="W31" s="38">
        <v>1416</v>
      </c>
      <c r="X31" s="38">
        <v>7216</v>
      </c>
    </row>
    <row r="32" spans="13:24" ht="15.6" x14ac:dyDescent="0.3">
      <c r="M32" s="39"/>
      <c r="N32" s="39"/>
      <c r="O32" s="39"/>
      <c r="P32" s="39"/>
      <c r="R32" s="37" t="str">
        <v>C0008</v>
      </c>
      <c r="S32" s="38">
        <v>900</v>
      </c>
      <c r="T32" s="38">
        <v>1016</v>
      </c>
      <c r="U32" s="38">
        <v>960</v>
      </c>
      <c r="V32" s="38">
        <v>940</v>
      </c>
      <c r="W32" s="38">
        <v>1193</v>
      </c>
      <c r="X32" s="38">
        <v>5009</v>
      </c>
    </row>
    <row r="33" spans="13:24" ht="15.6" x14ac:dyDescent="0.3">
      <c r="M33" s="39"/>
      <c r="N33" s="39"/>
      <c r="O33" s="39"/>
      <c r="P33" s="39"/>
      <c r="R33" s="37" t="str">
        <v>C0010</v>
      </c>
      <c r="S33" s="38">
        <v>900</v>
      </c>
      <c r="T33" s="38">
        <v>1470</v>
      </c>
      <c r="U33" s="38">
        <v>1617</v>
      </c>
      <c r="V33" s="38">
        <v>1314</v>
      </c>
      <c r="W33" s="38">
        <v>941</v>
      </c>
      <c r="X33" s="38">
        <v>6242</v>
      </c>
    </row>
    <row r="34" spans="13:24" ht="15.6" x14ac:dyDescent="0.3">
      <c r="M34" s="39"/>
      <c r="N34" s="39"/>
      <c r="O34" s="39"/>
      <c r="P34" s="39"/>
      <c r="R34" s="37" t="str">
        <v>C0013</v>
      </c>
      <c r="S34" s="38">
        <v>1255</v>
      </c>
      <c r="T34" s="38">
        <v>516</v>
      </c>
      <c r="U34" s="38">
        <v>1874</v>
      </c>
      <c r="V34" s="38">
        <v>1863</v>
      </c>
      <c r="W34" s="38">
        <v>1722</v>
      </c>
      <c r="X34" s="38">
        <v>7230</v>
      </c>
    </row>
    <row r="35" spans="13:24" ht="15.6" x14ac:dyDescent="0.3">
      <c r="M35" s="39"/>
      <c r="N35" s="39"/>
      <c r="O35" s="39"/>
      <c r="P35" s="39"/>
      <c r="R35" s="37" t="str">
        <v>C0015</v>
      </c>
      <c r="S35" s="38">
        <v>1138</v>
      </c>
      <c r="T35" s="38">
        <v>1898</v>
      </c>
      <c r="U35" s="38">
        <v>1482</v>
      </c>
      <c r="V35" s="38">
        <v>846</v>
      </c>
      <c r="W35" s="38">
        <v>1154</v>
      </c>
      <c r="X35" s="38">
        <v>6518</v>
      </c>
    </row>
    <row r="36" spans="13:24" ht="15.6" x14ac:dyDescent="0.3">
      <c r="M36" s="39"/>
      <c r="N36" s="39"/>
      <c r="O36" s="39"/>
      <c r="P36" s="39"/>
      <c r="R36" s="37" t="str">
        <v>Columbus</v>
      </c>
      <c r="S36" s="38" t="str">
        <v/>
      </c>
      <c r="T36" s="38" t="str">
        <v/>
      </c>
      <c r="U36" s="38" t="str">
        <v/>
      </c>
      <c r="V36" s="38" t="str">
        <v/>
      </c>
      <c r="W36" s="38" t="str">
        <v/>
      </c>
      <c r="X36" s="38" t="str">
        <v/>
      </c>
    </row>
    <row r="37" spans="13:24" ht="15.6" x14ac:dyDescent="0.3">
      <c r="M37" s="39"/>
      <c r="N37" s="39"/>
      <c r="O37" s="39"/>
      <c r="P37" s="39"/>
      <c r="R37" s="37" t="str">
        <v>C0001</v>
      </c>
      <c r="S37" s="38">
        <v>1655</v>
      </c>
      <c r="T37" s="38">
        <v>805</v>
      </c>
      <c r="U37" s="38">
        <v>2263</v>
      </c>
      <c r="V37" s="38">
        <v>987</v>
      </c>
      <c r="W37" s="38">
        <v>1075</v>
      </c>
      <c r="X37" s="38">
        <v>6785</v>
      </c>
    </row>
    <row r="38" spans="13:24" ht="15.6" x14ac:dyDescent="0.3">
      <c r="M38" s="39"/>
      <c r="N38" s="39"/>
      <c r="O38" s="39"/>
      <c r="P38" s="39"/>
      <c r="R38" s="37" t="str">
        <v>C0005</v>
      </c>
      <c r="S38" s="38">
        <v>1104</v>
      </c>
      <c r="T38" s="38">
        <v>2280</v>
      </c>
      <c r="U38" s="38">
        <v>1445</v>
      </c>
      <c r="V38" s="38">
        <v>1722</v>
      </c>
      <c r="W38" s="38">
        <v>1196</v>
      </c>
      <c r="X38" s="38">
        <v>7747</v>
      </c>
    </row>
    <row r="39" spans="13:24" ht="15.6" x14ac:dyDescent="0.3">
      <c r="M39" s="39"/>
      <c r="N39" s="39"/>
      <c r="O39" s="39"/>
      <c r="P39" s="39"/>
      <c r="R39" s="37" t="str">
        <v>C0006</v>
      </c>
      <c r="S39" s="38">
        <v>372</v>
      </c>
      <c r="T39" s="38">
        <v>1818</v>
      </c>
      <c r="U39" s="38">
        <v>1346</v>
      </c>
      <c r="V39" s="38">
        <v>1156</v>
      </c>
      <c r="W39" s="38">
        <v>1484</v>
      </c>
      <c r="X39" s="38">
        <v>6176</v>
      </c>
    </row>
    <row r="40" spans="13:24" ht="15.6" x14ac:dyDescent="0.3">
      <c r="R40" s="37" t="str">
        <v>C0009</v>
      </c>
      <c r="S40" s="38">
        <v>1415</v>
      </c>
      <c r="T40" s="38">
        <v>1271</v>
      </c>
      <c r="U40" s="38">
        <v>1214</v>
      </c>
      <c r="V40" s="38">
        <v>1135</v>
      </c>
      <c r="W40" s="38">
        <v>1566</v>
      </c>
      <c r="X40" s="38">
        <v>6601</v>
      </c>
    </row>
    <row r="41" spans="13:24" ht="15.6" x14ac:dyDescent="0.3">
      <c r="R41" s="33" t="str">
        <v>C0014</v>
      </c>
      <c r="S41" s="38">
        <v>1362</v>
      </c>
      <c r="T41" s="38">
        <v>1363</v>
      </c>
      <c r="U41" s="38">
        <v>1152</v>
      </c>
      <c r="V41" s="38">
        <v>777</v>
      </c>
      <c r="W41" s="38">
        <v>750</v>
      </c>
      <c r="X41" s="38">
        <v>5404</v>
      </c>
    </row>
  </sheetData>
  <mergeCells count="1">
    <mergeCell ref="M30:P39"/>
  </mergeCells>
  <conditionalFormatting sqref="S23:W41">
    <cfRule type="expression" dxfId="2" priority="12">
      <formula>" =R$23=Pivots!$I$43"</formula>
    </cfRule>
  </conditionalFormatting>
  <conditionalFormatting sqref="S25:W41">
    <cfRule type="dataBar" priority="4">
      <dataBar>
        <cfvo type="min"/>
        <cfvo type="max"/>
        <color rgb="FFFF555A"/>
      </dataBar>
      <extLst>
        <ext xmlns:x14="http://schemas.microsoft.com/office/spreadsheetml/2009/9/main" uri="{B025F937-C7B1-47D3-B67F-A62EFF666E3E}">
          <x14:id>{6BFC841E-A193-4C70-A2B5-5446BD784FA3}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1" id="{043581E6-B84A-4A15-936C-196DA47B4897}">
            <xm:f>S$23=Pivots!$A$55</xm:f>
            <x14:dxf>
              <fill>
                <patternFill>
                  <bgColor theme="7"/>
                </patternFill>
              </fill>
              <border>
                <left style="thin">
                  <color theme="3"/>
                </left>
                <right style="thin">
                  <color theme="3"/>
                </right>
                <vertical/>
                <horizontal/>
              </border>
            </x14:dxf>
          </x14:cfRule>
          <x14:cfRule type="expression" priority="13" id="{BA80F730-2304-4F66-A95C-A534F775DD7A}">
            <xm:f>$S$23=Pivots!$I$43</xm:f>
            <x14:dxf>
              <border>
                <vertical/>
                <horizontal/>
              </border>
            </x14:dxf>
          </x14:cfRule>
          <xm:sqref>S23:W41</xm:sqref>
        </x14:conditionalFormatting>
        <x14:conditionalFormatting xmlns:xm="http://schemas.microsoft.com/office/excel/2006/main">
          <x14:cfRule type="dataBar" id="{6BFC841E-A193-4C70-A2B5-5446BD784FA3}">
            <x14:dataBar minLength="0" maxLength="100" border="1" negativeBarBorderColorSameAsPositive="0">
              <x14:cfvo type="autoMin"/>
              <x14:cfvo type="autoMax"/>
              <x14:borderColor rgb="FFFF555A"/>
              <x14:negativeFillColor rgb="FFFF0000"/>
              <x14:negativeBorderColor rgb="FFFF0000"/>
              <x14:axisColor rgb="FF000000"/>
            </x14:dataBar>
          </x14:cfRule>
          <xm:sqref>S25:W41</xm:sqref>
        </x14:conditionalFormatting>
      </x14:conditionalFormattings>
    </ex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E3" sqref="E3"/>
    </sheetView>
  </sheetViews>
  <sheetFormatPr defaultRowHeight="14.4" x14ac:dyDescent="0.3"/>
  <cols>
    <col min="5" max="5" width="11" customWidth="1"/>
    <col min="6" max="6" width="10" customWidth="1"/>
  </cols>
  <sheetData>
    <row r="2" spans="5:6" x14ac:dyDescent="0.3">
      <c r="E2" t="s">
        <v>1040</v>
      </c>
      <c r="F2" t="s">
        <v>1041</v>
      </c>
    </row>
    <row r="3" spans="5:6" ht="25.5" customHeight="1" x14ac:dyDescent="0.3">
      <c r="E3" t="s">
        <v>11</v>
      </c>
      <c r="F3" t="e" vm="2">
        <v>#VALUE!</v>
      </c>
    </row>
    <row r="4" spans="5:6" ht="25.5" customHeight="1" x14ac:dyDescent="0.3">
      <c r="E4" t="s">
        <v>9</v>
      </c>
      <c r="F4" t="e" vm="3">
        <v>#VALUE!</v>
      </c>
    </row>
    <row r="5" spans="5:6" ht="25.5" customHeight="1" x14ac:dyDescent="0.3">
      <c r="E5" t="s">
        <v>6</v>
      </c>
      <c r="F5" t="e" vm="4">
        <v>#VALUE!</v>
      </c>
    </row>
    <row r="6" spans="5:6" ht="25.5" customHeight="1" x14ac:dyDescent="0.3">
      <c r="E6" t="s">
        <v>13</v>
      </c>
      <c r="F6" t="e" vm="5">
        <v>#VALUE!</v>
      </c>
    </row>
    <row r="7" spans="5:6" ht="25.5" customHeight="1" x14ac:dyDescent="0.3">
      <c r="E7" t="s">
        <v>10</v>
      </c>
      <c r="F7" t="e" vm="6">
        <v>#VALUE!</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Pivots</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ajay kumar</cp:lastModifiedBy>
  <dcterms:created xsi:type="dcterms:W3CDTF">2021-03-14T20:21:32Z</dcterms:created>
  <dcterms:modified xsi:type="dcterms:W3CDTF">2026-01-27T16:10:45Z</dcterms:modified>
</cp:coreProperties>
</file>